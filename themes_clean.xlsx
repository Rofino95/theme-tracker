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zimme\Documents\3Persönliches\Projekte\theme-tracker\"/>
    </mc:Choice>
  </mc:AlternateContent>
  <xr:revisionPtr revIDLastSave="0" documentId="8_{5487F766-CDDD-43FB-94FA-9653000D68CD}" xr6:coauthVersionLast="47" xr6:coauthVersionMax="47" xr10:uidLastSave="{00000000-0000-0000-0000-000000000000}"/>
  <bookViews>
    <workbookView xWindow="-120" yWindow="-120" windowWidth="29040" windowHeight="15720" xr2:uid="{2E82E578-22F1-47E5-9AF9-D61F57B1D6EC}"/>
  </bookViews>
  <sheets>
    <sheet name="Tabelle1" sheetId="1" r:id="rId1"/>
    <sheet name="Tabelle2" sheetId="4" r:id="rId2"/>
  </sheets>
  <calcPr calcId="191029"/>
  <pivotCaches>
    <pivotCache cacheId="16"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4" l="1"/>
  <c r="D6" i="4"/>
  <c r="D7" i="4"/>
  <c r="D8" i="4"/>
  <c r="D9" i="4"/>
  <c r="D10" i="4"/>
  <c r="D11" i="4"/>
  <c r="D12" i="4"/>
  <c r="D13" i="4"/>
  <c r="D14" i="4"/>
  <c r="D15" i="4"/>
  <c r="D16" i="4"/>
  <c r="D17" i="4"/>
  <c r="D18" i="4"/>
  <c r="D19" i="4"/>
  <c r="D20" i="4"/>
  <c r="D21" i="4"/>
  <c r="D22" i="4"/>
  <c r="D23" i="4"/>
  <c r="D24" i="4"/>
  <c r="D25" i="4"/>
  <c r="D26" i="4"/>
  <c r="D27" i="4"/>
  <c r="D28" i="4"/>
  <c r="D4" i="4"/>
  <c r="F143" i="1" a="1"/>
  <c r="F143" i="1" s="1"/>
  <c r="F9" i="1" a="1"/>
  <c r="F9" i="1" s="1"/>
  <c r="E9" i="1" a="1"/>
  <c r="E9" i="1" s="1"/>
  <c r="D9" i="1" a="1"/>
  <c r="D9" i="1" s="1"/>
  <c r="F3" i="1" a="1"/>
  <c r="F3" i="1" s="1"/>
  <c r="F4" i="1" a="1"/>
  <c r="F4" i="1" s="1"/>
  <c r="F5" i="1" a="1"/>
  <c r="F5" i="1" s="1"/>
  <c r="F6" i="1" a="1"/>
  <c r="F6" i="1" s="1"/>
  <c r="F7" i="1" a="1"/>
  <c r="F7" i="1" s="1"/>
  <c r="F8" i="1" a="1"/>
  <c r="F8"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F21" i="1" a="1"/>
  <c r="F21" i="1" s="1"/>
  <c r="F22" i="1" a="1"/>
  <c r="F22" i="1" s="1"/>
  <c r="F23" i="1" a="1"/>
  <c r="F23" i="1" s="1"/>
  <c r="F24" i="1" a="1"/>
  <c r="F24" i="1" s="1"/>
  <c r="F25" i="1" a="1"/>
  <c r="F25" i="1" s="1"/>
  <c r="F26" i="1" a="1"/>
  <c r="F26" i="1" s="1"/>
  <c r="F27" i="1" a="1"/>
  <c r="F27" i="1" s="1"/>
  <c r="F28" i="1" a="1"/>
  <c r="F28" i="1" s="1"/>
  <c r="F29" i="1" a="1"/>
  <c r="F29" i="1" s="1"/>
  <c r="F30" i="1" a="1"/>
  <c r="F30" i="1" s="1"/>
  <c r="F31" i="1" a="1"/>
  <c r="F31" i="1" s="1"/>
  <c r="F32" i="1" a="1"/>
  <c r="F32" i="1" s="1"/>
  <c r="F33" i="1" a="1"/>
  <c r="F33" i="1" s="1"/>
  <c r="F34" i="1" a="1"/>
  <c r="F34" i="1" s="1"/>
  <c r="F35" i="1" a="1"/>
  <c r="F35" i="1" s="1"/>
  <c r="F36" i="1" a="1"/>
  <c r="F36" i="1" s="1"/>
  <c r="F37" i="1" a="1"/>
  <c r="F37" i="1" s="1"/>
  <c r="F38" i="1" a="1"/>
  <c r="F38" i="1" s="1"/>
  <c r="F39" i="1" a="1"/>
  <c r="F39" i="1" s="1"/>
  <c r="F40" i="1" a="1"/>
  <c r="F40" i="1" s="1"/>
  <c r="F41" i="1" a="1"/>
  <c r="F41" i="1" s="1"/>
  <c r="F42" i="1" a="1"/>
  <c r="F42" i="1" s="1"/>
  <c r="F43" i="1" a="1"/>
  <c r="F43" i="1" s="1"/>
  <c r="F44" i="1" a="1"/>
  <c r="F44" i="1" s="1"/>
  <c r="F45" i="1" a="1"/>
  <c r="F45" i="1" s="1"/>
  <c r="F46" i="1" a="1"/>
  <c r="F46" i="1" s="1"/>
  <c r="F47" i="1" a="1"/>
  <c r="F47" i="1" s="1"/>
  <c r="F48" i="1" a="1"/>
  <c r="F48" i="1" s="1"/>
  <c r="F49" i="1" a="1"/>
  <c r="F49" i="1" s="1"/>
  <c r="F50" i="1" a="1"/>
  <c r="F50" i="1" s="1"/>
  <c r="F51" i="1" a="1"/>
  <c r="F51" i="1" s="1"/>
  <c r="F52" i="1" a="1"/>
  <c r="F52" i="1" s="1"/>
  <c r="F53" i="1" a="1"/>
  <c r="F53" i="1" s="1"/>
  <c r="F54" i="1" a="1"/>
  <c r="F54" i="1" s="1"/>
  <c r="F55" i="1" a="1"/>
  <c r="F55" i="1" s="1"/>
  <c r="F56" i="1" a="1"/>
  <c r="F56" i="1" s="1"/>
  <c r="F57" i="1" a="1"/>
  <c r="F57" i="1" s="1"/>
  <c r="F58" i="1" a="1"/>
  <c r="F58" i="1" s="1"/>
  <c r="F59" i="1" a="1"/>
  <c r="F59" i="1" s="1"/>
  <c r="F60" i="1" a="1"/>
  <c r="F60" i="1" s="1"/>
  <c r="F61" i="1" a="1"/>
  <c r="F61" i="1" s="1"/>
  <c r="F62" i="1" a="1"/>
  <c r="F62" i="1" s="1"/>
  <c r="F63" i="1" a="1"/>
  <c r="F63" i="1" s="1"/>
  <c r="F64" i="1" a="1"/>
  <c r="F64" i="1" s="1"/>
  <c r="F65" i="1" a="1"/>
  <c r="F65" i="1" s="1"/>
  <c r="F66" i="1" a="1"/>
  <c r="F66" i="1" s="1"/>
  <c r="F67" i="1" a="1"/>
  <c r="F67" i="1" s="1"/>
  <c r="F68" i="1" a="1"/>
  <c r="F68" i="1" s="1"/>
  <c r="F69" i="1" a="1"/>
  <c r="F69" i="1" s="1"/>
  <c r="F70" i="1" a="1"/>
  <c r="F70" i="1" s="1"/>
  <c r="F71" i="1" a="1"/>
  <c r="F71" i="1" s="1"/>
  <c r="F72" i="1" a="1"/>
  <c r="F72" i="1" s="1"/>
  <c r="F73" i="1" a="1"/>
  <c r="F73" i="1" s="1"/>
  <c r="F74" i="1" a="1"/>
  <c r="F74" i="1" s="1"/>
  <c r="F75" i="1" a="1"/>
  <c r="F75" i="1" s="1"/>
  <c r="F76" i="1" a="1"/>
  <c r="F76" i="1" s="1"/>
  <c r="F77" i="1" a="1"/>
  <c r="F77" i="1" s="1"/>
  <c r="F78" i="1" a="1"/>
  <c r="F78" i="1" s="1"/>
  <c r="F79" i="1" a="1"/>
  <c r="F79" i="1" s="1"/>
  <c r="F80" i="1" a="1"/>
  <c r="F80" i="1" s="1"/>
  <c r="F81" i="1" a="1"/>
  <c r="F81" i="1" s="1"/>
  <c r="F82" i="1" a="1"/>
  <c r="F82" i="1" s="1"/>
  <c r="F83" i="1" a="1"/>
  <c r="F83" i="1" s="1"/>
  <c r="F84" i="1" a="1"/>
  <c r="F84" i="1" s="1"/>
  <c r="F85" i="1" a="1"/>
  <c r="F85" i="1" s="1"/>
  <c r="F86" i="1" a="1"/>
  <c r="F86" i="1" s="1"/>
  <c r="F87" i="1" a="1"/>
  <c r="F87" i="1" s="1"/>
  <c r="F88" i="1" a="1"/>
  <c r="F88" i="1" s="1"/>
  <c r="F89" i="1" a="1"/>
  <c r="F89" i="1" s="1"/>
  <c r="F90" i="1" a="1"/>
  <c r="F90" i="1" s="1"/>
  <c r="F91" i="1" a="1"/>
  <c r="F91" i="1" s="1"/>
  <c r="F92" i="1" a="1"/>
  <c r="F92" i="1" s="1"/>
  <c r="F93" i="1" a="1"/>
  <c r="F93" i="1" s="1"/>
  <c r="F94" i="1" a="1"/>
  <c r="F94" i="1" s="1"/>
  <c r="F95" i="1" a="1"/>
  <c r="F95" i="1" s="1"/>
  <c r="F96" i="1" a="1"/>
  <c r="F96" i="1" s="1"/>
  <c r="F97" i="1" a="1"/>
  <c r="F97" i="1" s="1"/>
  <c r="F98" i="1" a="1"/>
  <c r="F98" i="1" s="1"/>
  <c r="F99" i="1" a="1"/>
  <c r="F99" i="1" s="1"/>
  <c r="F100" i="1" a="1"/>
  <c r="F100" i="1" s="1"/>
  <c r="F101" i="1" a="1"/>
  <c r="F101" i="1" s="1"/>
  <c r="F102" i="1" a="1"/>
  <c r="F102" i="1" s="1"/>
  <c r="F103" i="1" a="1"/>
  <c r="F103" i="1" s="1"/>
  <c r="F104" i="1" a="1"/>
  <c r="F104" i="1" s="1"/>
  <c r="F105" i="1" a="1"/>
  <c r="F105" i="1" s="1"/>
  <c r="F106" i="1" a="1"/>
  <c r="F106" i="1" s="1"/>
  <c r="F107" i="1" a="1"/>
  <c r="F107" i="1" s="1"/>
  <c r="F108" i="1" a="1"/>
  <c r="F108" i="1" s="1"/>
  <c r="F109" i="1" a="1"/>
  <c r="F109" i="1" s="1"/>
  <c r="F110" i="1" a="1"/>
  <c r="F110" i="1" s="1"/>
  <c r="F111" i="1" a="1"/>
  <c r="F111" i="1" s="1"/>
  <c r="F112" i="1" a="1"/>
  <c r="F112" i="1" s="1"/>
  <c r="F113" i="1" a="1"/>
  <c r="F113" i="1" s="1"/>
  <c r="F114" i="1" a="1"/>
  <c r="F114" i="1" s="1"/>
  <c r="F115" i="1" a="1"/>
  <c r="F115" i="1" s="1"/>
  <c r="F116" i="1" a="1"/>
  <c r="F116" i="1" s="1"/>
  <c r="F117" i="1" a="1"/>
  <c r="F117" i="1" s="1"/>
  <c r="F118" i="1" a="1"/>
  <c r="F118" i="1" s="1"/>
  <c r="F119" i="1" a="1"/>
  <c r="F119" i="1" s="1"/>
  <c r="F120" i="1" a="1"/>
  <c r="F120" i="1" s="1"/>
  <c r="F121" i="1" a="1"/>
  <c r="F121" i="1" s="1"/>
  <c r="F122" i="1" a="1"/>
  <c r="F122" i="1" s="1"/>
  <c r="F123" i="1" a="1"/>
  <c r="F123" i="1" s="1"/>
  <c r="F124" i="1" a="1"/>
  <c r="F124" i="1" s="1"/>
  <c r="F125" i="1" a="1"/>
  <c r="F125" i="1" s="1"/>
  <c r="F126" i="1" a="1"/>
  <c r="F126" i="1" s="1"/>
  <c r="F127" i="1" a="1"/>
  <c r="F127" i="1" s="1"/>
  <c r="F128" i="1" a="1"/>
  <c r="F128" i="1" s="1"/>
  <c r="F129" i="1" a="1"/>
  <c r="F129" i="1" s="1"/>
  <c r="F130" i="1" a="1"/>
  <c r="F130" i="1" s="1"/>
  <c r="F131" i="1" a="1"/>
  <c r="F131" i="1" s="1"/>
  <c r="F132" i="1" a="1"/>
  <c r="F132" i="1" s="1"/>
  <c r="F133" i="1" a="1"/>
  <c r="F133" i="1" s="1"/>
  <c r="F134" i="1" a="1"/>
  <c r="F134" i="1" s="1"/>
  <c r="F135" i="1" a="1"/>
  <c r="F135" i="1" s="1"/>
  <c r="F136" i="1" a="1"/>
  <c r="F136" i="1" s="1"/>
  <c r="F137" i="1" a="1"/>
  <c r="F137" i="1" s="1"/>
  <c r="F138" i="1" a="1"/>
  <c r="F138" i="1" s="1"/>
  <c r="F139" i="1" a="1"/>
  <c r="F139" i="1" s="1"/>
  <c r="F140" i="1" a="1"/>
  <c r="F140" i="1" s="1"/>
  <c r="F141" i="1" a="1"/>
  <c r="F141" i="1" s="1"/>
  <c r="F142" i="1" a="1"/>
  <c r="F142" i="1" s="1"/>
  <c r="F144" i="1" a="1"/>
  <c r="F144" i="1" s="1"/>
  <c r="F145" i="1" a="1"/>
  <c r="F145" i="1" s="1"/>
  <c r="F146" i="1" a="1"/>
  <c r="F146" i="1" s="1"/>
  <c r="F147" i="1" a="1"/>
  <c r="F147" i="1" s="1"/>
  <c r="F148" i="1" a="1"/>
  <c r="F148" i="1" s="1"/>
  <c r="F149" i="1" a="1"/>
  <c r="F149" i="1" s="1"/>
  <c r="F150" i="1" a="1"/>
  <c r="F150" i="1" s="1"/>
  <c r="F151" i="1" a="1"/>
  <c r="F151" i="1" s="1"/>
  <c r="F152" i="1" a="1"/>
  <c r="F152" i="1" s="1"/>
  <c r="F153" i="1" a="1"/>
  <c r="F153" i="1" s="1"/>
  <c r="F154" i="1" a="1"/>
  <c r="F154" i="1" s="1"/>
  <c r="F155" i="1" a="1"/>
  <c r="F155" i="1" s="1"/>
  <c r="F156" i="1" a="1"/>
  <c r="F156" i="1" s="1"/>
  <c r="F157" i="1" a="1"/>
  <c r="F157" i="1" s="1"/>
  <c r="F158" i="1" a="1"/>
  <c r="F158" i="1" s="1"/>
  <c r="F159" i="1" a="1"/>
  <c r="F159" i="1" s="1"/>
  <c r="F160" i="1" a="1"/>
  <c r="F160" i="1" s="1"/>
  <c r="F161" i="1" a="1"/>
  <c r="F161" i="1" s="1"/>
  <c r="F162" i="1" a="1"/>
  <c r="F162" i="1" s="1"/>
  <c r="F163" i="1" a="1"/>
  <c r="F163" i="1" s="1"/>
  <c r="F164" i="1" a="1"/>
  <c r="F164" i="1" s="1"/>
  <c r="F165" i="1" a="1"/>
  <c r="F165" i="1" s="1"/>
  <c r="F166" i="1" a="1"/>
  <c r="F166" i="1" s="1"/>
  <c r="F167" i="1" a="1"/>
  <c r="F167" i="1" s="1"/>
  <c r="F168" i="1" a="1"/>
  <c r="F168" i="1" s="1"/>
  <c r="F169" i="1" a="1"/>
  <c r="F169" i="1" s="1"/>
  <c r="F170" i="1" a="1"/>
  <c r="F170" i="1" s="1"/>
  <c r="E3" i="1" a="1"/>
  <c r="E3" i="1" s="1"/>
  <c r="E4" i="1" a="1"/>
  <c r="E4" i="1" s="1"/>
  <c r="E5" i="1" a="1"/>
  <c r="E5" i="1" s="1"/>
  <c r="E6" i="1" a="1"/>
  <c r="E6" i="1" s="1"/>
  <c r="E7" i="1" a="1"/>
  <c r="E7" i="1" s="1"/>
  <c r="E8" i="1" a="1"/>
  <c r="E8" i="1" s="1"/>
  <c r="E10" i="1" a="1"/>
  <c r="E10" i="1" s="1"/>
  <c r="E11" i="1" a="1"/>
  <c r="E11" i="1" s="1"/>
  <c r="E12" i="1" a="1"/>
  <c r="E12" i="1" s="1"/>
  <c r="E13" i="1" a="1"/>
  <c r="E13" i="1" s="1"/>
  <c r="E14" i="1" a="1"/>
  <c r="E14" i="1" s="1"/>
  <c r="E15" i="1" a="1"/>
  <c r="E15" i="1" s="1"/>
  <c r="E16" i="1" a="1"/>
  <c r="E16" i="1" s="1"/>
  <c r="E17" i="1" a="1"/>
  <c r="E17" i="1" s="1"/>
  <c r="E18" i="1" a="1"/>
  <c r="E18" i="1" s="1"/>
  <c r="E19" i="1" a="1"/>
  <c r="E19" i="1" s="1"/>
  <c r="E20" i="1" a="1"/>
  <c r="E20" i="1" s="1"/>
  <c r="E21" i="1" a="1"/>
  <c r="E21" i="1" s="1"/>
  <c r="E22" i="1" a="1"/>
  <c r="E22" i="1" s="1"/>
  <c r="E23" i="1" a="1"/>
  <c r="E23" i="1" s="1"/>
  <c r="E24" i="1" a="1"/>
  <c r="E24" i="1" s="1"/>
  <c r="E25" i="1" a="1"/>
  <c r="E25" i="1" s="1"/>
  <c r="E26" i="1" a="1"/>
  <c r="E26" i="1" s="1"/>
  <c r="E27" i="1" a="1"/>
  <c r="E27" i="1" s="1"/>
  <c r="E28" i="1" a="1"/>
  <c r="E28" i="1" s="1"/>
  <c r="E29" i="1" a="1"/>
  <c r="E29" i="1" s="1"/>
  <c r="E30" i="1" a="1"/>
  <c r="E30" i="1" s="1"/>
  <c r="E31" i="1" a="1"/>
  <c r="E31" i="1" s="1"/>
  <c r="E32" i="1" a="1"/>
  <c r="E32" i="1" s="1"/>
  <c r="E33" i="1" a="1"/>
  <c r="E33" i="1" s="1"/>
  <c r="E34" i="1" a="1"/>
  <c r="E34" i="1" s="1"/>
  <c r="E35" i="1" a="1"/>
  <c r="E35" i="1" s="1"/>
  <c r="E36" i="1" a="1"/>
  <c r="E36" i="1" s="1"/>
  <c r="E37" i="1" a="1"/>
  <c r="E37" i="1" s="1"/>
  <c r="E38" i="1" a="1"/>
  <c r="E38" i="1" s="1"/>
  <c r="E39" i="1" a="1"/>
  <c r="E39" i="1" s="1"/>
  <c r="E40" i="1" a="1"/>
  <c r="E40" i="1" s="1"/>
  <c r="E41" i="1" a="1"/>
  <c r="E41" i="1" s="1"/>
  <c r="E42" i="1" a="1"/>
  <c r="E42" i="1" s="1"/>
  <c r="E43" i="1" a="1"/>
  <c r="E43" i="1" s="1"/>
  <c r="E44" i="1" a="1"/>
  <c r="E44" i="1" s="1"/>
  <c r="E45" i="1" a="1"/>
  <c r="E45" i="1" s="1"/>
  <c r="E46" i="1" a="1"/>
  <c r="E46" i="1" s="1"/>
  <c r="E47" i="1" a="1"/>
  <c r="E47" i="1" s="1"/>
  <c r="E48" i="1" a="1"/>
  <c r="E48" i="1" s="1"/>
  <c r="E49" i="1" a="1"/>
  <c r="E49" i="1" s="1"/>
  <c r="E50" i="1" a="1"/>
  <c r="E50" i="1" s="1"/>
  <c r="E51" i="1" a="1"/>
  <c r="E51" i="1" s="1"/>
  <c r="E52" i="1" a="1"/>
  <c r="E52" i="1" s="1"/>
  <c r="E53" i="1" a="1"/>
  <c r="E53" i="1" s="1"/>
  <c r="E54" i="1" a="1"/>
  <c r="E54" i="1" s="1"/>
  <c r="E55" i="1" a="1"/>
  <c r="E55" i="1" s="1"/>
  <c r="E56" i="1" a="1"/>
  <c r="E56" i="1" s="1"/>
  <c r="E57" i="1" a="1"/>
  <c r="E57" i="1" s="1"/>
  <c r="E58" i="1" a="1"/>
  <c r="E58" i="1" s="1"/>
  <c r="E59" i="1" a="1"/>
  <c r="E59" i="1" s="1"/>
  <c r="E60" i="1" a="1"/>
  <c r="E60" i="1" s="1"/>
  <c r="E61" i="1" a="1"/>
  <c r="E61" i="1" s="1"/>
  <c r="E62" i="1" a="1"/>
  <c r="E62" i="1" s="1"/>
  <c r="E63" i="1" a="1"/>
  <c r="E63" i="1" s="1"/>
  <c r="E64" i="1" a="1"/>
  <c r="E64" i="1" s="1"/>
  <c r="E65" i="1" a="1"/>
  <c r="E65" i="1" s="1"/>
  <c r="E66" i="1" a="1"/>
  <c r="E66" i="1" s="1"/>
  <c r="E67" i="1" a="1"/>
  <c r="E67" i="1" s="1"/>
  <c r="E68" i="1" a="1"/>
  <c r="E68" i="1" s="1"/>
  <c r="E69" i="1" a="1"/>
  <c r="E69" i="1" s="1"/>
  <c r="E70" i="1" a="1"/>
  <c r="E70" i="1" s="1"/>
  <c r="E71" i="1" a="1"/>
  <c r="E71" i="1" s="1"/>
  <c r="E72" i="1" a="1"/>
  <c r="E72" i="1" s="1"/>
  <c r="E73" i="1" a="1"/>
  <c r="E73" i="1" s="1"/>
  <c r="E74" i="1" a="1"/>
  <c r="E74" i="1" s="1"/>
  <c r="E75" i="1" a="1"/>
  <c r="E75" i="1" s="1"/>
  <c r="E76" i="1" a="1"/>
  <c r="E76" i="1" s="1"/>
  <c r="E77" i="1" a="1"/>
  <c r="E77" i="1" s="1"/>
  <c r="E78" i="1" a="1"/>
  <c r="E78" i="1" s="1"/>
  <c r="E79" i="1" a="1"/>
  <c r="E79" i="1" s="1"/>
  <c r="E80" i="1" a="1"/>
  <c r="E80" i="1" s="1"/>
  <c r="E81" i="1" a="1"/>
  <c r="E81" i="1" s="1"/>
  <c r="E82" i="1" a="1"/>
  <c r="E82" i="1" s="1"/>
  <c r="E83" i="1" a="1"/>
  <c r="E83" i="1" s="1"/>
  <c r="E84" i="1" a="1"/>
  <c r="E84" i="1" s="1"/>
  <c r="E85" i="1" a="1"/>
  <c r="E85" i="1" s="1"/>
  <c r="E86" i="1" a="1"/>
  <c r="E86" i="1" s="1"/>
  <c r="E87" i="1" a="1"/>
  <c r="E87" i="1" s="1"/>
  <c r="E88" i="1" a="1"/>
  <c r="E88" i="1" s="1"/>
  <c r="E89" i="1" a="1"/>
  <c r="E89" i="1" s="1"/>
  <c r="E90" i="1" a="1"/>
  <c r="E90" i="1" s="1"/>
  <c r="E91" i="1" a="1"/>
  <c r="E91" i="1" s="1"/>
  <c r="E92" i="1" a="1"/>
  <c r="E92" i="1" s="1"/>
  <c r="E93" i="1" a="1"/>
  <c r="E93" i="1" s="1"/>
  <c r="E94" i="1" a="1"/>
  <c r="E94" i="1" s="1"/>
  <c r="E95" i="1" a="1"/>
  <c r="E95" i="1" s="1"/>
  <c r="E96" i="1" a="1"/>
  <c r="E96" i="1" s="1"/>
  <c r="E97" i="1" a="1"/>
  <c r="E97" i="1" s="1"/>
  <c r="E98" i="1" a="1"/>
  <c r="E98" i="1" s="1"/>
  <c r="E99" i="1" a="1"/>
  <c r="E99" i="1" s="1"/>
  <c r="E100" i="1" a="1"/>
  <c r="E100" i="1" s="1"/>
  <c r="E101" i="1" a="1"/>
  <c r="E101" i="1" s="1"/>
  <c r="E102" i="1" a="1"/>
  <c r="E102" i="1" s="1"/>
  <c r="E103" i="1" a="1"/>
  <c r="E103" i="1" s="1"/>
  <c r="E104" i="1" a="1"/>
  <c r="E104" i="1" s="1"/>
  <c r="E105" i="1" a="1"/>
  <c r="E105" i="1" s="1"/>
  <c r="E106" i="1" a="1"/>
  <c r="E106" i="1" s="1"/>
  <c r="E107" i="1" a="1"/>
  <c r="E107" i="1" s="1"/>
  <c r="E108" i="1" a="1"/>
  <c r="E108" i="1" s="1"/>
  <c r="E109" i="1" a="1"/>
  <c r="E109" i="1" s="1"/>
  <c r="E110" i="1" a="1"/>
  <c r="E110" i="1" s="1"/>
  <c r="E111" i="1" a="1"/>
  <c r="E111" i="1" s="1"/>
  <c r="E112" i="1" a="1"/>
  <c r="E112" i="1" s="1"/>
  <c r="E113" i="1" a="1"/>
  <c r="E113" i="1" s="1"/>
  <c r="E114" i="1" a="1"/>
  <c r="E114" i="1" s="1"/>
  <c r="E115" i="1" a="1"/>
  <c r="E115" i="1" s="1"/>
  <c r="E116" i="1" a="1"/>
  <c r="E116" i="1" s="1"/>
  <c r="E117" i="1" a="1"/>
  <c r="E117" i="1" s="1"/>
  <c r="E118" i="1" a="1"/>
  <c r="E118" i="1" s="1"/>
  <c r="E119" i="1" a="1"/>
  <c r="E119" i="1" s="1"/>
  <c r="E120" i="1" a="1"/>
  <c r="E120" i="1" s="1"/>
  <c r="E121" i="1" a="1"/>
  <c r="E121" i="1" s="1"/>
  <c r="E122" i="1" a="1"/>
  <c r="E122" i="1" s="1"/>
  <c r="E123" i="1" a="1"/>
  <c r="E123" i="1" s="1"/>
  <c r="E124" i="1" a="1"/>
  <c r="E124" i="1" s="1"/>
  <c r="E125" i="1" a="1"/>
  <c r="E125" i="1" s="1"/>
  <c r="E126" i="1" a="1"/>
  <c r="E126" i="1" s="1"/>
  <c r="E127" i="1" a="1"/>
  <c r="E127" i="1" s="1"/>
  <c r="E128" i="1" a="1"/>
  <c r="E128" i="1" s="1"/>
  <c r="E129" i="1" a="1"/>
  <c r="E129" i="1" s="1"/>
  <c r="E130" i="1" a="1"/>
  <c r="E130" i="1" s="1"/>
  <c r="E131" i="1" a="1"/>
  <c r="E131" i="1" s="1"/>
  <c r="E132" i="1" a="1"/>
  <c r="E132" i="1" s="1"/>
  <c r="E133" i="1" a="1"/>
  <c r="E133" i="1" s="1"/>
  <c r="E134" i="1" a="1"/>
  <c r="E134" i="1" s="1"/>
  <c r="E135" i="1" a="1"/>
  <c r="E135" i="1" s="1"/>
  <c r="E136" i="1" a="1"/>
  <c r="E136" i="1" s="1"/>
  <c r="E137" i="1" a="1"/>
  <c r="E137" i="1" s="1"/>
  <c r="E138" i="1" a="1"/>
  <c r="E138" i="1" s="1"/>
  <c r="E139" i="1" a="1"/>
  <c r="E139" i="1" s="1"/>
  <c r="E140" i="1" a="1"/>
  <c r="E140" i="1" s="1"/>
  <c r="E141" i="1" a="1"/>
  <c r="E141" i="1" s="1"/>
  <c r="E142" i="1" a="1"/>
  <c r="E142" i="1" s="1"/>
  <c r="E143" i="1" a="1"/>
  <c r="E143" i="1" s="1"/>
  <c r="E144" i="1" a="1"/>
  <c r="E144" i="1" s="1"/>
  <c r="E145" i="1" a="1"/>
  <c r="E145" i="1" s="1"/>
  <c r="E146" i="1" a="1"/>
  <c r="E146" i="1" s="1"/>
  <c r="E147" i="1" a="1"/>
  <c r="E147" i="1" s="1"/>
  <c r="E148" i="1" a="1"/>
  <c r="E148" i="1" s="1"/>
  <c r="E149" i="1" a="1"/>
  <c r="E149" i="1" s="1"/>
  <c r="E150" i="1" a="1"/>
  <c r="E150" i="1" s="1"/>
  <c r="E151" i="1" a="1"/>
  <c r="E151" i="1" s="1"/>
  <c r="E152" i="1" a="1"/>
  <c r="E152" i="1" s="1"/>
  <c r="E153" i="1" a="1"/>
  <c r="E153" i="1" s="1"/>
  <c r="E154" i="1" a="1"/>
  <c r="E154" i="1" s="1"/>
  <c r="E155" i="1" a="1"/>
  <c r="E155" i="1" s="1"/>
  <c r="E156" i="1" a="1"/>
  <c r="E156" i="1" s="1"/>
  <c r="E157" i="1" a="1"/>
  <c r="E157" i="1" s="1"/>
  <c r="E158" i="1" a="1"/>
  <c r="E158" i="1" s="1"/>
  <c r="E159" i="1" a="1"/>
  <c r="E159" i="1" s="1"/>
  <c r="E160" i="1" a="1"/>
  <c r="E160" i="1" s="1"/>
  <c r="E161" i="1" a="1"/>
  <c r="E161" i="1" s="1"/>
  <c r="E162" i="1" a="1"/>
  <c r="E162" i="1" s="1"/>
  <c r="E163" i="1" a="1"/>
  <c r="E163" i="1" s="1"/>
  <c r="E164" i="1" a="1"/>
  <c r="E164" i="1" s="1"/>
  <c r="E165" i="1" a="1"/>
  <c r="E165" i="1" s="1"/>
  <c r="E166" i="1" a="1"/>
  <c r="E166" i="1" s="1"/>
  <c r="E167" i="1" a="1"/>
  <c r="E167" i="1" s="1"/>
  <c r="E168" i="1" a="1"/>
  <c r="E168" i="1" s="1"/>
  <c r="E169" i="1" a="1"/>
  <c r="E169" i="1" s="1"/>
  <c r="E170" i="1" a="1"/>
  <c r="E170" i="1" s="1"/>
  <c r="F2" i="1" a="1"/>
  <c r="F2" i="1" s="1"/>
  <c r="E2" i="1" a="1"/>
  <c r="E2" i="1" s="1"/>
  <c r="D121" i="1" a="1"/>
  <c r="D12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H145" i="1" s="1"/>
  <c r="D144" i="1" a="1"/>
  <c r="D144" i="1" s="1"/>
  <c r="D143" i="1" a="1"/>
  <c r="D143" i="1" s="1"/>
  <c r="D142" i="1" a="1"/>
  <c r="D142" i="1" s="1"/>
  <c r="D141" i="1" a="1"/>
  <c r="D141" i="1" s="1"/>
  <c r="D140" i="1" a="1"/>
  <c r="D140" i="1" s="1"/>
  <c r="D139" i="1" a="1"/>
  <c r="D139" i="1" s="1"/>
  <c r="D138" i="1" a="1"/>
  <c r="D138" i="1" s="1"/>
  <c r="D137" i="1" a="1"/>
  <c r="D137" i="1" s="1"/>
  <c r="D136" i="1" a="1"/>
  <c r="D136" i="1" s="1"/>
  <c r="G136" i="1" s="1"/>
  <c r="D135" i="1" a="1"/>
  <c r="D135" i="1" s="1"/>
  <c r="D134" i="1" a="1"/>
  <c r="D134" i="1" s="1"/>
  <c r="G134" i="1" s="1"/>
  <c r="D133" i="1" a="1"/>
  <c r="D133" i="1" s="1"/>
  <c r="H133" i="1" s="1"/>
  <c r="D132" i="1" a="1"/>
  <c r="D132" i="1" s="1"/>
  <c r="D131" i="1" a="1"/>
  <c r="D131" i="1" s="1"/>
  <c r="D130" i="1" a="1"/>
  <c r="D130" i="1" s="1"/>
  <c r="D129" i="1" a="1"/>
  <c r="D129" i="1" s="1"/>
  <c r="D128" i="1" a="1"/>
  <c r="D128" i="1" s="1"/>
  <c r="D127" i="1" a="1"/>
  <c r="D127" i="1" s="1"/>
  <c r="D126" i="1" a="1"/>
  <c r="D126" i="1" s="1"/>
  <c r="D125" i="1" a="1"/>
  <c r="D125" i="1" s="1"/>
  <c r="D124" i="1" a="1"/>
  <c r="D124" i="1" s="1"/>
  <c r="G124" i="1" s="1"/>
  <c r="D123" i="1" a="1"/>
  <c r="D123" i="1" s="1"/>
  <c r="D122" i="1" a="1"/>
  <c r="D122" i="1" s="1"/>
  <c r="G122" i="1" s="1"/>
  <c r="D120" i="1" a="1"/>
  <c r="D120" i="1" s="1"/>
  <c r="D119" i="1" a="1"/>
  <c r="D119" i="1" s="1"/>
  <c r="D118" i="1" a="1"/>
  <c r="D118" i="1" s="1"/>
  <c r="D117" i="1" a="1"/>
  <c r="D117" i="1" s="1"/>
  <c r="D116" i="1" a="1"/>
  <c r="D116" i="1" s="1"/>
  <c r="D115" i="1" a="1"/>
  <c r="D115" i="1" s="1"/>
  <c r="D114" i="1" a="1"/>
  <c r="D114" i="1" s="1"/>
  <c r="D113" i="1" a="1"/>
  <c r="D113" i="1" s="1"/>
  <c r="D112" i="1" a="1"/>
  <c r="D112" i="1" s="1"/>
  <c r="G112" i="1" s="1"/>
  <c r="D111" i="1" a="1"/>
  <c r="D111" i="1" s="1"/>
  <c r="D110" i="1" a="1"/>
  <c r="D110" i="1" s="1"/>
  <c r="G110" i="1" s="1"/>
  <c r="D109" i="1" a="1"/>
  <c r="D109" i="1" s="1"/>
  <c r="H109" i="1" s="1"/>
  <c r="D108" i="1" a="1"/>
  <c r="D108" i="1" s="1"/>
  <c r="D107" i="1" a="1"/>
  <c r="D107" i="1" s="1"/>
  <c r="D106" i="1" a="1"/>
  <c r="D106" i="1" s="1"/>
  <c r="D105" i="1" a="1"/>
  <c r="D105" i="1" s="1"/>
  <c r="D104" i="1" a="1"/>
  <c r="D104" i="1" s="1"/>
  <c r="D103" i="1" a="1"/>
  <c r="D103" i="1" s="1"/>
  <c r="D102" i="1" a="1"/>
  <c r="D102" i="1" s="1"/>
  <c r="D101" i="1" a="1"/>
  <c r="D101" i="1" s="1"/>
  <c r="D100" i="1" a="1"/>
  <c r="D100" i="1" s="1"/>
  <c r="G100" i="1" s="1"/>
  <c r="D99" i="1" a="1"/>
  <c r="D99" i="1" s="1"/>
  <c r="D98" i="1" a="1"/>
  <c r="D98" i="1" s="1"/>
  <c r="G98" i="1" s="1"/>
  <c r="D97" i="1" a="1"/>
  <c r="D97" i="1" s="1"/>
  <c r="H97" i="1" s="1"/>
  <c r="D96" i="1" a="1"/>
  <c r="D96" i="1" s="1"/>
  <c r="D95" i="1" a="1"/>
  <c r="D95" i="1" s="1"/>
  <c r="D94" i="1" a="1"/>
  <c r="D94" i="1" s="1"/>
  <c r="D93" i="1" a="1"/>
  <c r="D93" i="1" s="1"/>
  <c r="D92" i="1" a="1"/>
  <c r="D92" i="1" s="1"/>
  <c r="D91" i="1" a="1"/>
  <c r="D91" i="1" s="1"/>
  <c r="D90" i="1" a="1"/>
  <c r="D90" i="1" s="1"/>
  <c r="D89" i="1" a="1"/>
  <c r="D89" i="1" s="1"/>
  <c r="D88" i="1" a="1"/>
  <c r="D88" i="1" s="1"/>
  <c r="G88" i="1" s="1"/>
  <c r="D87" i="1" a="1"/>
  <c r="D87" i="1" s="1"/>
  <c r="D86" i="1" a="1"/>
  <c r="D86" i="1" s="1"/>
  <c r="G86" i="1" s="1"/>
  <c r="D85" i="1" a="1"/>
  <c r="D85" i="1" s="1"/>
  <c r="H85" i="1" s="1"/>
  <c r="D84" i="1" a="1"/>
  <c r="D84" i="1" s="1"/>
  <c r="D83" i="1" a="1"/>
  <c r="D83" i="1" s="1"/>
  <c r="D82" i="1" a="1"/>
  <c r="D82" i="1" s="1"/>
  <c r="D81" i="1" a="1"/>
  <c r="D81" i="1" s="1"/>
  <c r="D80" i="1" a="1"/>
  <c r="D80" i="1" s="1"/>
  <c r="D79" i="1" a="1"/>
  <c r="D79" i="1" s="1"/>
  <c r="D78" i="1" a="1"/>
  <c r="D78" i="1" s="1"/>
  <c r="D77" i="1" a="1"/>
  <c r="D77" i="1" s="1"/>
  <c r="D76" i="1" a="1"/>
  <c r="D76" i="1" s="1"/>
  <c r="G76" i="1" s="1"/>
  <c r="D75" i="1" a="1"/>
  <c r="D75" i="1" s="1"/>
  <c r="D74" i="1" a="1"/>
  <c r="D74" i="1" s="1"/>
  <c r="G74" i="1" s="1"/>
  <c r="D73" i="1" a="1"/>
  <c r="D73" i="1" s="1"/>
  <c r="H73" i="1" s="1"/>
  <c r="D72" i="1" a="1"/>
  <c r="D72" i="1" s="1"/>
  <c r="D71" i="1" a="1"/>
  <c r="D71" i="1" s="1"/>
  <c r="D70" i="1" a="1"/>
  <c r="D70" i="1" s="1"/>
  <c r="D69" i="1" a="1"/>
  <c r="D69" i="1" s="1"/>
  <c r="D68" i="1" a="1"/>
  <c r="D68" i="1" s="1"/>
  <c r="D67" i="1" a="1"/>
  <c r="D67" i="1" s="1"/>
  <c r="D66" i="1" a="1"/>
  <c r="D66" i="1" s="1"/>
  <c r="D65" i="1" a="1"/>
  <c r="D65" i="1" s="1"/>
  <c r="D64" i="1" a="1"/>
  <c r="D64" i="1" s="1"/>
  <c r="G64" i="1" s="1"/>
  <c r="D63" i="1" a="1"/>
  <c r="D63" i="1" s="1"/>
  <c r="G63" i="1" s="1"/>
  <c r="D62" i="1" a="1"/>
  <c r="D62" i="1" s="1"/>
  <c r="G62" i="1" s="1"/>
  <c r="D61" i="1" a="1"/>
  <c r="D61" i="1" s="1"/>
  <c r="H61" i="1" s="1"/>
  <c r="D60" i="1" a="1"/>
  <c r="D60" i="1" s="1"/>
  <c r="D59" i="1" a="1"/>
  <c r="D59" i="1" s="1"/>
  <c r="D58" i="1" a="1"/>
  <c r="D58" i="1" s="1"/>
  <c r="D57" i="1" a="1"/>
  <c r="D57" i="1" s="1"/>
  <c r="D56" i="1" a="1"/>
  <c r="D56" i="1" s="1"/>
  <c r="D55" i="1" a="1"/>
  <c r="D55" i="1" s="1"/>
  <c r="D54" i="1" a="1"/>
  <c r="D54" i="1" s="1"/>
  <c r="D53" i="1" a="1"/>
  <c r="D53" i="1" s="1"/>
  <c r="D52" i="1" a="1"/>
  <c r="D52" i="1" s="1"/>
  <c r="G52" i="1" s="1"/>
  <c r="D51" i="1" a="1"/>
  <c r="D51" i="1" s="1"/>
  <c r="G51" i="1" s="1"/>
  <c r="D50" i="1" a="1"/>
  <c r="D50" i="1" s="1"/>
  <c r="G50" i="1" s="1"/>
  <c r="D49" i="1" a="1"/>
  <c r="D49" i="1" s="1"/>
  <c r="H49" i="1" s="1"/>
  <c r="D48" i="1" a="1"/>
  <c r="D48" i="1" s="1"/>
  <c r="D47" i="1" a="1"/>
  <c r="D47" i="1" s="1"/>
  <c r="D46" i="1" a="1"/>
  <c r="D46" i="1" s="1"/>
  <c r="D45" i="1" a="1"/>
  <c r="D45" i="1" s="1"/>
  <c r="D44" i="1" a="1"/>
  <c r="D44" i="1" s="1"/>
  <c r="D43" i="1" a="1"/>
  <c r="D43" i="1" s="1"/>
  <c r="D42" i="1" a="1"/>
  <c r="D42" i="1" s="1"/>
  <c r="D41" i="1" a="1"/>
  <c r="D41" i="1" s="1"/>
  <c r="D40" i="1" a="1"/>
  <c r="D40" i="1" s="1"/>
  <c r="G40" i="1" s="1"/>
  <c r="D39" i="1" a="1"/>
  <c r="D39" i="1" s="1"/>
  <c r="G39" i="1" s="1"/>
  <c r="D38" i="1" a="1"/>
  <c r="D38" i="1" s="1"/>
  <c r="G38" i="1" s="1"/>
  <c r="D37" i="1" a="1"/>
  <c r="D37" i="1" s="1"/>
  <c r="H37" i="1" s="1"/>
  <c r="D36" i="1" a="1"/>
  <c r="D36" i="1" s="1"/>
  <c r="D35" i="1" a="1"/>
  <c r="D35" i="1" s="1"/>
  <c r="D34" i="1" a="1"/>
  <c r="D34" i="1" s="1"/>
  <c r="D33" i="1" a="1"/>
  <c r="D33" i="1" s="1"/>
  <c r="D32" i="1" a="1"/>
  <c r="D32" i="1" s="1"/>
  <c r="D31" i="1" a="1"/>
  <c r="D31" i="1" s="1"/>
  <c r="D30" i="1" a="1"/>
  <c r="D30" i="1" s="1"/>
  <c r="D29" i="1" a="1"/>
  <c r="D29" i="1" s="1"/>
  <c r="G29" i="1" s="1"/>
  <c r="D28" i="1" a="1"/>
  <c r="D28" i="1" s="1"/>
  <c r="G28" i="1" s="1"/>
  <c r="D27" i="1" a="1"/>
  <c r="D27" i="1" s="1"/>
  <c r="G27" i="1" s="1"/>
  <c r="D26" i="1" a="1"/>
  <c r="D26" i="1" s="1"/>
  <c r="G26" i="1" s="1"/>
  <c r="D25" i="1" a="1"/>
  <c r="D25" i="1" s="1"/>
  <c r="H25" i="1" s="1"/>
  <c r="D24" i="1" a="1"/>
  <c r="D24" i="1" s="1"/>
  <c r="D23" i="1" a="1"/>
  <c r="D23" i="1" s="1"/>
  <c r="D22" i="1" a="1"/>
  <c r="D22" i="1" s="1"/>
  <c r="D21" i="1" a="1"/>
  <c r="D21" i="1" s="1"/>
  <c r="D20" i="1" a="1"/>
  <c r="D20" i="1" s="1"/>
  <c r="D19" i="1" a="1"/>
  <c r="D19" i="1" s="1"/>
  <c r="D18" i="1" a="1"/>
  <c r="D18" i="1" s="1"/>
  <c r="G18" i="1" s="1"/>
  <c r="D17" i="1" a="1"/>
  <c r="D17" i="1" s="1"/>
  <c r="G17" i="1" s="1"/>
  <c r="D16" i="1" a="1"/>
  <c r="D16" i="1" s="1"/>
  <c r="G16" i="1" s="1"/>
  <c r="D15" i="1" a="1"/>
  <c r="D15" i="1" s="1"/>
  <c r="G15" i="1" s="1"/>
  <c r="D14" i="1" a="1"/>
  <c r="D14" i="1" s="1"/>
  <c r="G14" i="1" s="1"/>
  <c r="D13" i="1" a="1"/>
  <c r="D13" i="1" s="1"/>
  <c r="H13" i="1" s="1"/>
  <c r="D12" i="1" a="1"/>
  <c r="D12" i="1" s="1"/>
  <c r="D11" i="1" a="1"/>
  <c r="D11" i="1" s="1"/>
  <c r="D10" i="1" a="1"/>
  <c r="D10" i="1" s="1"/>
  <c r="D8" i="1" a="1"/>
  <c r="D8" i="1" s="1"/>
  <c r="D7" i="1" a="1"/>
  <c r="D7" i="1" s="1"/>
  <c r="H7" i="1" s="1"/>
  <c r="D6" i="1" a="1"/>
  <c r="D6" i="1" s="1"/>
  <c r="D5" i="1" a="1"/>
  <c r="D5" i="1" s="1"/>
  <c r="G5" i="1" s="1"/>
  <c r="D4" i="1" a="1"/>
  <c r="D4" i="1" s="1"/>
  <c r="G4" i="1" s="1"/>
  <c r="D3" i="1" a="1"/>
  <c r="D3" i="1" s="1"/>
  <c r="G3" i="1" s="1"/>
  <c r="D2" i="1" a="1"/>
  <c r="D2" i="1" s="1"/>
  <c r="G75" i="1" l="1"/>
  <c r="G87" i="1"/>
  <c r="G99" i="1"/>
  <c r="G6" i="1"/>
  <c r="G19" i="1"/>
  <c r="G148" i="1"/>
  <c r="G160" i="1"/>
  <c r="G125" i="1"/>
  <c r="G137" i="1"/>
  <c r="H149" i="1"/>
  <c r="H161" i="1"/>
  <c r="G113" i="1"/>
  <c r="G41" i="1"/>
  <c r="G53" i="1"/>
  <c r="G65" i="1"/>
  <c r="G77" i="1"/>
  <c r="G89" i="1"/>
  <c r="G101" i="1"/>
  <c r="G30" i="1"/>
  <c r="G42" i="1"/>
  <c r="G54" i="1"/>
  <c r="G66" i="1"/>
  <c r="G78" i="1"/>
  <c r="H90" i="1"/>
  <c r="H102" i="1"/>
  <c r="H114" i="1"/>
  <c r="G31" i="1"/>
  <c r="G43" i="1"/>
  <c r="G55" i="1"/>
  <c r="G67" i="1"/>
  <c r="G79" i="1"/>
  <c r="H91" i="1"/>
  <c r="H103" i="1"/>
  <c r="H115" i="1"/>
  <c r="H157" i="1"/>
  <c r="H169" i="1"/>
  <c r="G146" i="1"/>
  <c r="G158" i="1"/>
  <c r="H152" i="1"/>
  <c r="H57" i="1"/>
  <c r="H11" i="1"/>
  <c r="H23" i="1"/>
  <c r="H35" i="1"/>
  <c r="H33" i="1"/>
  <c r="H21" i="1"/>
  <c r="H8" i="1"/>
  <c r="H45" i="1"/>
  <c r="H164" i="1"/>
  <c r="H69" i="1"/>
  <c r="H81" i="1"/>
  <c r="H93" i="1"/>
  <c r="H105" i="1"/>
  <c r="H117" i="1"/>
  <c r="H154" i="1"/>
  <c r="H166" i="1"/>
  <c r="H131" i="1"/>
  <c r="H143" i="1"/>
  <c r="H47" i="1"/>
  <c r="H59" i="1"/>
  <c r="H71" i="1"/>
  <c r="H83" i="1"/>
  <c r="H95" i="1"/>
  <c r="H107" i="1"/>
  <c r="H119" i="1"/>
  <c r="H20" i="1"/>
  <c r="H32" i="1"/>
  <c r="H44" i="1"/>
  <c r="H56" i="1"/>
  <c r="H68" i="1"/>
  <c r="H80" i="1"/>
  <c r="H92" i="1"/>
  <c r="H104" i="1"/>
  <c r="H116" i="1"/>
  <c r="G129" i="1"/>
  <c r="G141" i="1"/>
  <c r="H153" i="1"/>
  <c r="H170" i="1"/>
  <c r="H121" i="1"/>
  <c r="H128" i="1"/>
  <c r="H140" i="1"/>
  <c r="H24" i="1"/>
  <c r="H84" i="1"/>
  <c r="H127" i="1"/>
  <c r="H139" i="1"/>
  <c r="H151" i="1"/>
  <c r="H163" i="1"/>
  <c r="H165" i="1"/>
  <c r="H130" i="1"/>
  <c r="H142" i="1"/>
  <c r="H34" i="1"/>
  <c r="H46" i="1"/>
  <c r="H58" i="1"/>
  <c r="H70" i="1"/>
  <c r="H82" i="1"/>
  <c r="H94" i="1"/>
  <c r="H106" i="1"/>
  <c r="H118" i="1"/>
  <c r="H155" i="1"/>
  <c r="H167" i="1"/>
  <c r="H132" i="1"/>
  <c r="H144" i="1"/>
  <c r="H156" i="1"/>
  <c r="H168" i="1"/>
  <c r="H72" i="1"/>
  <c r="H120" i="1"/>
  <c r="H10" i="1"/>
  <c r="H48" i="1"/>
  <c r="H96" i="1"/>
  <c r="G123" i="1"/>
  <c r="H135" i="1"/>
  <c r="H147" i="1"/>
  <c r="H159" i="1"/>
  <c r="H9" i="1"/>
  <c r="H60" i="1"/>
  <c r="H108" i="1"/>
  <c r="G2" i="1"/>
  <c r="G111" i="1"/>
  <c r="H12" i="1"/>
  <c r="H22" i="1"/>
  <c r="H36" i="1"/>
  <c r="H126" i="1"/>
  <c r="H138" i="1"/>
  <c r="H150" i="1"/>
  <c r="H162" i="1"/>
  <c r="H158" i="1"/>
  <c r="H146" i="1"/>
  <c r="H134" i="1"/>
  <c r="H122" i="1"/>
  <c r="H110" i="1"/>
  <c r="H98" i="1"/>
  <c r="H86" i="1"/>
  <c r="H74" i="1"/>
  <c r="H62" i="1"/>
  <c r="H50" i="1"/>
  <c r="H38" i="1"/>
  <c r="H26" i="1"/>
  <c r="H14" i="1"/>
  <c r="H141" i="1"/>
  <c r="H129" i="1"/>
  <c r="H79" i="1"/>
  <c r="H67" i="1"/>
  <c r="H55" i="1"/>
  <c r="H43" i="1"/>
  <c r="H31" i="1"/>
  <c r="H19" i="1"/>
  <c r="H78" i="1"/>
  <c r="H66" i="1"/>
  <c r="H54" i="1"/>
  <c r="H42" i="1"/>
  <c r="H30" i="1"/>
  <c r="H18" i="1"/>
  <c r="H6" i="1"/>
  <c r="G126" i="1"/>
  <c r="G138" i="1"/>
  <c r="H137" i="1"/>
  <c r="H125" i="1"/>
  <c r="H113" i="1"/>
  <c r="H101" i="1"/>
  <c r="H89" i="1"/>
  <c r="H77" i="1"/>
  <c r="H65" i="1"/>
  <c r="H53" i="1"/>
  <c r="H41" i="1"/>
  <c r="H29" i="1"/>
  <c r="H17" i="1"/>
  <c r="H5" i="1"/>
  <c r="H160" i="1"/>
  <c r="H148" i="1"/>
  <c r="H136" i="1"/>
  <c r="H124" i="1"/>
  <c r="H112" i="1"/>
  <c r="H100" i="1"/>
  <c r="H88" i="1"/>
  <c r="H76" i="1"/>
  <c r="H64" i="1"/>
  <c r="H52" i="1"/>
  <c r="H40" i="1"/>
  <c r="H28" i="1"/>
  <c r="H16" i="1"/>
  <c r="H4" i="1"/>
  <c r="H2" i="1"/>
  <c r="H123" i="1"/>
  <c r="H111" i="1"/>
  <c r="H99" i="1"/>
  <c r="H87" i="1"/>
  <c r="H75" i="1"/>
  <c r="H63" i="1"/>
  <c r="H51" i="1"/>
  <c r="H39" i="1"/>
  <c r="H27" i="1"/>
  <c r="H15" i="1"/>
  <c r="H3" i="1"/>
  <c r="G33" i="1"/>
  <c r="G45" i="1"/>
  <c r="G57" i="1"/>
  <c r="G69" i="1"/>
  <c r="G81" i="1"/>
  <c r="G93" i="1"/>
  <c r="G105" i="1"/>
  <c r="G117" i="1"/>
  <c r="G154" i="1"/>
  <c r="G166" i="1"/>
  <c r="G21" i="1"/>
  <c r="G143" i="1"/>
  <c r="G11" i="1"/>
  <c r="G135" i="1"/>
  <c r="G9" i="1"/>
  <c r="G150" i="1"/>
  <c r="G162" i="1"/>
  <c r="G90" i="1"/>
  <c r="G102" i="1"/>
  <c r="G114" i="1"/>
  <c r="G127" i="1"/>
  <c r="G139" i="1"/>
  <c r="G91" i="1"/>
  <c r="G103" i="1"/>
  <c r="G115" i="1"/>
  <c r="G149" i="1"/>
  <c r="G161" i="1"/>
  <c r="G152" i="1"/>
  <c r="G164" i="1"/>
  <c r="G131" i="1"/>
  <c r="G23" i="1"/>
  <c r="G35" i="1"/>
  <c r="G47" i="1"/>
  <c r="G59" i="1"/>
  <c r="G71" i="1"/>
  <c r="G83" i="1"/>
  <c r="G95" i="1"/>
  <c r="G107" i="1"/>
  <c r="G119" i="1"/>
  <c r="G133" i="1"/>
  <c r="G145" i="1"/>
  <c r="G157" i="1"/>
  <c r="G169" i="1"/>
  <c r="G25" i="1"/>
  <c r="G49" i="1"/>
  <c r="G73" i="1"/>
  <c r="G85" i="1"/>
  <c r="G97" i="1"/>
  <c r="G109" i="1"/>
  <c r="G13" i="1"/>
  <c r="G37" i="1"/>
  <c r="G61" i="1"/>
  <c r="G121" i="1"/>
  <c r="G151" i="1"/>
  <c r="G163" i="1"/>
  <c r="G130" i="1"/>
  <c r="G142" i="1"/>
  <c r="G155" i="1"/>
  <c r="G167" i="1"/>
  <c r="G132" i="1"/>
  <c r="G144" i="1"/>
  <c r="G156" i="1"/>
  <c r="G168" i="1"/>
  <c r="G24" i="1"/>
  <c r="G36" i="1"/>
  <c r="G48" i="1"/>
  <c r="G60" i="1"/>
  <c r="G72" i="1"/>
  <c r="G84" i="1"/>
  <c r="G96" i="1"/>
  <c r="G108" i="1"/>
  <c r="G120" i="1"/>
  <c r="G170" i="1"/>
  <c r="G12" i="1"/>
  <c r="G8" i="1"/>
  <c r="G7" i="1"/>
  <c r="G20" i="1"/>
  <c r="G32" i="1"/>
  <c r="G44" i="1"/>
  <c r="G56" i="1"/>
  <c r="G68" i="1"/>
  <c r="G80" i="1"/>
  <c r="G92" i="1"/>
  <c r="G104" i="1"/>
  <c r="G116" i="1"/>
  <c r="G153" i="1"/>
  <c r="G165" i="1"/>
  <c r="G46" i="1"/>
  <c r="G58" i="1"/>
  <c r="G70" i="1"/>
  <c r="G82" i="1"/>
  <c r="G94" i="1"/>
  <c r="G106" i="1"/>
  <c r="G118" i="1"/>
  <c r="G22" i="1"/>
  <c r="G34" i="1"/>
  <c r="G147" i="1"/>
  <c r="G159" i="1"/>
  <c r="G10" i="1"/>
  <c r="G128" i="1"/>
  <c r="G1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5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80"/>
        </ext>
      </extLst>
    </bk>
    <bk>
      <extLst>
        <ext uri="{3e2802c4-a4d2-4d8b-9148-e3be6c30e623}">
          <xlrd:rvb i="383"/>
        </ext>
      </extLst>
    </bk>
    <bk>
      <extLst>
        <ext uri="{3e2802c4-a4d2-4d8b-9148-e3be6c30e623}">
          <xlrd:rvb i="386"/>
        </ext>
      </extLst>
    </bk>
    <bk>
      <extLst>
        <ext uri="{3e2802c4-a4d2-4d8b-9148-e3be6c30e623}">
          <xlrd:rvb i="389"/>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futureMetadata>
  <cellMetadata count="1">
    <bk>
      <rc t="1" v="0"/>
    </bk>
  </cellMetadata>
  <valueMetadata count="1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valueMetadata>
</metadata>
</file>

<file path=xl/sharedStrings.xml><?xml version="1.0" encoding="utf-8"?>
<sst xmlns="http://schemas.openxmlformats.org/spreadsheetml/2006/main" count="375" uniqueCount="43">
  <si>
    <t>Main Theme</t>
  </si>
  <si>
    <t>Sub Theme</t>
  </si>
  <si>
    <t>Ticker</t>
  </si>
  <si>
    <t>AI / Tech</t>
  </si>
  <si>
    <t>Photonics</t>
  </si>
  <si>
    <t>AI Compute</t>
  </si>
  <si>
    <t>AI Data Center</t>
  </si>
  <si>
    <t>AI Networking</t>
  </si>
  <si>
    <t>Cybersecurity</t>
  </si>
  <si>
    <t>Utilities</t>
  </si>
  <si>
    <t>ENERGY / POWER</t>
  </si>
  <si>
    <t>Grid Infrasturucture</t>
  </si>
  <si>
    <t>Nuclear</t>
  </si>
  <si>
    <t>Renewables</t>
  </si>
  <si>
    <t>Oil &amp; Gas</t>
  </si>
  <si>
    <t>HEALTHCARE</t>
  </si>
  <si>
    <t>Pharma</t>
  </si>
  <si>
    <t>Biotech</t>
  </si>
  <si>
    <t>Medtech</t>
  </si>
  <si>
    <t>Obesity / GLP-1</t>
  </si>
  <si>
    <t>INDUSTRIALS</t>
  </si>
  <si>
    <t>Automation</t>
  </si>
  <si>
    <t>Robotics</t>
  </si>
  <si>
    <t>Aerospace</t>
  </si>
  <si>
    <t>Defense Tech</t>
  </si>
  <si>
    <t>FINANCE</t>
  </si>
  <si>
    <t>Banks</t>
  </si>
  <si>
    <t>Asset Managers</t>
  </si>
  <si>
    <t>Fintech</t>
  </si>
  <si>
    <t>CONSUMER</t>
  </si>
  <si>
    <t>Consumer Staples</t>
  </si>
  <si>
    <t>Consumer Discretionary</t>
  </si>
  <si>
    <t>E-Commerce</t>
  </si>
  <si>
    <t>Preis</t>
  </si>
  <si>
    <t>52W High</t>
  </si>
  <si>
    <t>52W Low</t>
  </si>
  <si>
    <t>Trend Score</t>
  </si>
  <si>
    <t>Zeilenbeschriftungen</t>
  </si>
  <si>
    <t>Gesamtergebnis</t>
  </si>
  <si>
    <t>Mittelwert von Trend Score</t>
  </si>
  <si>
    <t>Status</t>
  </si>
  <si>
    <t>Momentum</t>
  </si>
  <si>
    <t>Mittelwert von Momentum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</si>
</sst>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409]* #,##0.00_);_([$$-409]* \(#,##0.00\);_([$$-409]* &quot;-&quot;??_);_(@_)"/>
    <numFmt numFmtId="165" formatCode="_-* #,##0.00\ [$CHF-100C]_-;\-* #,##0.00\ [$CHF-100C]_-;_-* &quot;-&quot;??\ [$CHF-100C]_-;_-@_-"/>
    <numFmt numFmtId="166" formatCode="_([$€-2]\ * #,##0.00_);_([$€-2]\ * \(#,##0.00\);_([$€-2]\ * &quot;-&quot;??_);_(@_)"/>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165" fontId="0" fillId="0" borderId="0" xfId="0" applyNumberFormat="1"/>
    <xf numFmtId="166" fontId="0" fillId="0" borderId="0" xfId="0" applyNumberFormat="1"/>
    <xf numFmtId="2" fontId="0" fillId="0" borderId="0" xfId="0" applyNumberFormat="1"/>
    <xf numFmtId="0" fontId="0" fillId="0" borderId="0" xfId="0" pivotButton="1"/>
    <xf numFmtId="0" fontId="0" fillId="0" borderId="0" xfId="0" applyAlignment="1">
      <alignment horizontal="left"/>
    </xf>
  </cellXfs>
  <cellStyles count="1">
    <cellStyle name="Standard" xfId="0" builtinId="0"/>
  </cellStyles>
  <dxfs count="5">
    <dxf>
      <numFmt numFmtId="2" formatCode="0.00"/>
    </dxf>
    <dxf>
      <numFmt numFmtId="2" formatCode="0.00"/>
    </dxf>
    <dxf>
      <numFmt numFmtId="164" formatCode="_([$$-409]* #,##0.00_);_([$$-409]* \(#,##0.00\);_([$$-409]* &quot;-&quot;??_);_(@_)"/>
    </dxf>
    <dxf>
      <numFmt numFmtId="164" formatCode="_([$$-409]* #,##0.00_);_([$$-409]* \(#,##0.00\);_([$$-409]* &quot;-&quot;??_);_(@_)"/>
    </dxf>
    <dxf>
      <numFmt numFmtId="164" formatCode="_([$$-409]* #,##0.00_);_([$$-409]* \(#,##0.00\);_([$$-409]*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pivotCacheDefinition" Target="pivotCache/pivotCacheDefinition1.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Robin Zimmer" refreshedDate="46128.795705208337" createdVersion="8" refreshedVersion="8" minRefreshableVersion="3" recordCount="169" xr:uid="{A398F828-5979-4FB2-B981-D0B27C7540B5}">
  <cacheSource type="worksheet">
    <worksheetSource name="Tabelle1"/>
  </cacheSource>
  <cacheFields count="8">
    <cacheField name="Main Theme" numFmtId="0">
      <sharedItems/>
    </cacheField>
    <cacheField name="Sub Theme" numFmtId="0">
      <sharedItems count="24">
        <s v="Photonics"/>
        <s v="AI Compute"/>
        <s v="AI Data Center"/>
        <s v="AI Networking"/>
        <s v="Cybersecurity"/>
        <s v="Utilities"/>
        <s v="Grid Infrasturucture"/>
        <s v="Nuclear"/>
        <s v="Renewables"/>
        <s v="Oil &amp; Gas"/>
        <s v="Pharma"/>
        <s v="Biotech"/>
        <s v="Medtech"/>
        <s v="Obesity / GLP-1"/>
        <s v="Automation"/>
        <s v="Robotics"/>
        <s v="Aerospace"/>
        <s v="Defense Tech"/>
        <s v="Banks"/>
        <s v="Asset Managers"/>
        <s v="Fintech"/>
        <s v="Consumer Staples"/>
        <s v="Consumer Discretionary"/>
        <s v="E-Commerce"/>
      </sharedItems>
    </cacheField>
    <cacheField name="Ticker" numFmtId="0">
      <sharedItems/>
    </cacheField>
    <cacheField name="Preis" numFmtId="0">
      <sharedItems containsSemiMixedTypes="0" containsString="0" containsNumber="1" minValue="0.13" maxValue="1841.14"/>
    </cacheField>
    <cacheField name="52W High" numFmtId="0">
      <sharedItems containsSemiMixedTypes="0" containsString="0" containsNumber="1" minValue="0.16" maxValue="2645.22"/>
    </cacheField>
    <cacheField name="52W Low" numFmtId="0">
      <sharedItems containsSemiMixedTypes="0" containsString="0" containsNumber="1" minValue="7.2999999999999995E-2" maxValue="1593.21"/>
    </cacheField>
    <cacheField name="Trend Score" numFmtId="2">
      <sharedItems containsSemiMixedTypes="0" containsString="0" containsNumber="1" minValue="0" maxValue="0.99115681907506881"/>
    </cacheField>
    <cacheField name="Momentum" numFmtId="2">
      <sharedItems containsSemiMixedTypes="0" containsString="0" containsNumber="1" minValue="-1.0000000000000002" maxValue="0.9823136381501376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A398F828-5979-4FB2-B981-D0B27C7540B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AI / Tech"/>
    <x v="0"/>
    <s v="Coherent Corp. (XNYS:COHR)"/>
    <n v="320.55"/>
    <n v="332"/>
    <n v="50.81"/>
    <n v="0.95928020199864861"/>
    <n v="0.91856040399729733"/>
  </r>
  <r>
    <s v="AI / Tech"/>
    <x v="0"/>
    <s v="LUMENTUM HOLDINGS INC. (XNAS:LITE)"/>
    <n v="882.29"/>
    <n v="960"/>
    <n v="49.13"/>
    <n v="0.91468595957710752"/>
    <n v="0.82937191915421515"/>
  </r>
  <r>
    <s v="AI / Tech"/>
    <x v="0"/>
    <s v="APPLIED OPTOELECTRONICS, INC. (XNAS:AAOI)"/>
    <n v="148.26"/>
    <n v="155.4"/>
    <n v="9.7110000000000003"/>
    <n v="0.95099149558305696"/>
    <n v="0.90198299116611391"/>
  </r>
  <r>
    <s v="AI / Tech"/>
    <x v="0"/>
    <s v="POET Technologies Inc. (XNAS:POET)"/>
    <n v="7.1150000000000002"/>
    <n v="9.41"/>
    <n v="3.58"/>
    <n v="0.60634648370497424"/>
    <n v="0.21269296740994859"/>
  </r>
  <r>
    <s v="AI / Tech"/>
    <x v="0"/>
    <s v="AXT, INC. (XNAS:AXTI)"/>
    <n v="76.795000000000002"/>
    <n v="77.47"/>
    <n v="1.1399999999999999"/>
    <n v="0.99115681907506881"/>
    <n v="0.98231363815013761"/>
  </r>
  <r>
    <s v="AI / Tech"/>
    <x v="0"/>
    <s v="TOWER SEMICONDUCTOR LTD (XNAS:TSEM)"/>
    <n v="212.67"/>
    <n v="219.46"/>
    <n v="33.42"/>
    <n v="0.96350247258654043"/>
    <n v="0.92700494517308085"/>
  </r>
  <r>
    <s v="AI / Tech"/>
    <x v="0"/>
    <s v="SUSS MicroTec SE (XETR:SMHN)"/>
    <n v="63.95"/>
    <n v="65.3"/>
    <n v="24"/>
    <n v="0.96731234866828097"/>
    <n v="0.93462469733656206"/>
  </r>
  <r>
    <s v="AI / Tech"/>
    <x v="0"/>
    <s v="MARVELL TECHNOLOGY, INC. (XNAS:MRVL)"/>
    <n v="133.93"/>
    <n v="138.19"/>
    <n v="48.09"/>
    <n v="0.95271920088790241"/>
    <n v="0.90543840177580481"/>
  </r>
  <r>
    <s v="AI / Tech"/>
    <x v="1"/>
    <s v="NVIDIA CORPORATION (XNAS:NVDA)"/>
    <n v="198.3"/>
    <n v="212.18989999999999"/>
    <n v="95.04"/>
    <n v="0.88143481129732093"/>
    <n v="0.76286962259464197"/>
  </r>
  <r>
    <s v="AI / Tech"/>
    <x v="1"/>
    <s v="ADVANCED MICRO DEVICES, INC. (XNAS:AMD)"/>
    <n v="277.42"/>
    <n v="279.33999999999997"/>
    <n v="83.75"/>
    <n v="0.99018354721611557"/>
    <n v="0.98036709443223113"/>
  </r>
  <r>
    <s v="AI / Tech"/>
    <x v="1"/>
    <s v="BROADCOM INC. (XNAS:AVGO)"/>
    <n v="397.95"/>
    <n v="414.61"/>
    <n v="161.61000000000001"/>
    <n v="0.93415019762845841"/>
    <n v="0.86830039525691682"/>
  </r>
  <r>
    <s v="AI / Tech"/>
    <x v="1"/>
    <s v="INTEL CORPORATION (XNAS:INTC)"/>
    <n v="67.635000000000005"/>
    <n v="68.23"/>
    <n v="18.25"/>
    <n v="0.98809523809523814"/>
    <n v="0.97619047619047628"/>
  </r>
  <r>
    <s v="AI / Tech"/>
    <x v="1"/>
    <s v="Taiwan Semiconductor Manufacturing Company Limited (XNYS:TSM)"/>
    <n v="362.89"/>
    <n v="390.20499999999998"/>
    <n v="145.84"/>
    <n v="0.88822048984101654"/>
    <n v="0.77644097968203318"/>
  </r>
  <r>
    <s v="AI / Tech"/>
    <x v="1"/>
    <s v="QUALCOMM INCORPORATED (XNAS:QCOM)"/>
    <n v="134.84"/>
    <n v="205.95"/>
    <n v="121.99"/>
    <n v="0.153049070986184"/>
    <n v="-0.69390185802763216"/>
  </r>
  <r>
    <s v="AI / Tech"/>
    <x v="1"/>
    <s v="MICRON TECHNOLOGY, INC. (XNAS:MU)"/>
    <n v="457.75"/>
    <n v="471.34"/>
    <n v="65.644999999999996"/>
    <n v="0.96650192878886854"/>
    <n v="0.93300385757773696"/>
  </r>
  <r>
    <s v="AI / Tech"/>
    <x v="2"/>
    <s v="AMAZON.COM, INC. (XNAS:AMZN)"/>
    <n v="248.51"/>
    <n v="258.60000000000002"/>
    <n v="165.285"/>
    <n v="0.89187161763917877"/>
    <n v="0.78374323527835799"/>
  </r>
  <r>
    <s v="AI / Tech"/>
    <x v="2"/>
    <s v="MICROSOFT CORPORATION (XNAS:MSFT)"/>
    <n v="418.91500000000002"/>
    <n v="555.45000000000005"/>
    <n v="355.67"/>
    <n v="0.31657323055360892"/>
    <n v="-0.36685353889278238"/>
  </r>
  <r>
    <s v="AI / Tech"/>
    <x v="2"/>
    <s v="ALPHABET INC. (XNAS:GOOGL)"/>
    <n v="337.16719999999998"/>
    <n v="349"/>
    <n v="146.1"/>
    <n v="0.94168161655988158"/>
    <n v="0.88336323311976306"/>
  </r>
  <r>
    <s v="AI / Tech"/>
    <x v="2"/>
    <s v="META PLATFORMS, INC. (XNAS:META)"/>
    <n v="674.02"/>
    <n v="796.25"/>
    <n v="479.8"/>
    <n v="0.61374624743245376"/>
    <n v="0.22749249486490761"/>
  </r>
  <r>
    <s v="AI / Tech"/>
    <x v="2"/>
    <s v="ORACLE CORPORATION (XNYS:ORCL)"/>
    <n v="177.81"/>
    <n v="345.72"/>
    <n v="121.235"/>
    <n v="0.25202129318217253"/>
    <n v="-0.4959574136356551"/>
  </r>
  <r>
    <s v="AI / Tech"/>
    <x v="2"/>
    <s v="INTERNATIONAL BUSINESS MACHINES CORPORATION (XNYS:IBM)"/>
    <n v="250.48500000000001"/>
    <n v="324.89999999999998"/>
    <n v="220.72"/>
    <n v="0.28570742944903071"/>
    <n v="-0.42858514110193885"/>
  </r>
  <r>
    <s v="AI / Tech"/>
    <x v="2"/>
    <s v="Nebius Group NV (XNAS:NBIS)"/>
    <n v="161.96"/>
    <n v="168.71"/>
    <n v="20.25"/>
    <n v="0.95453320759800619"/>
    <n v="0.90906641519601239"/>
  </r>
  <r>
    <s v="AI / Tech"/>
    <x v="3"/>
    <s v="ARISTA NETWORKS, INC. (XNYS:ANET)"/>
    <n v="158.72499999999999"/>
    <n v="164.94"/>
    <n v="66.59"/>
    <n v="0.93680732079308593"/>
    <n v="0.87361464158617175"/>
  </r>
  <r>
    <s v="AI / Tech"/>
    <x v="3"/>
    <s v="CISCO SYSTEMS, INC. (XNAS:CSCO)"/>
    <n v="83.53"/>
    <n v="88.185000000000002"/>
    <n v="53.83"/>
    <n v="0.86450298355406785"/>
    <n v="0.72900596710813603"/>
  </r>
  <r>
    <s v="AI / Tech"/>
    <x v="3"/>
    <s v="JUNIPER NETWORKS, INC. (XMEX:JNPR*)"/>
    <n v="716.68"/>
    <n v="756.03"/>
    <n v="702.25"/>
    <n v="0.26831535886946739"/>
    <n v="-0.46336928226106516"/>
  </r>
  <r>
    <s v="AI / Tech"/>
    <x v="3"/>
    <s v="CIENA CORPORATION (XNYS:CIEN)"/>
    <n v="485.09"/>
    <n v="513.48990000000003"/>
    <n v="56.94"/>
    <n v="0.93779453242679489"/>
    <n v="0.87558906485358956"/>
  </r>
  <r>
    <s v="AI / Tech"/>
    <x v="3"/>
    <s v="HEWLETT PACKARD ENTERPRISE COMPANY (XNYS:HPE)"/>
    <n v="25.47"/>
    <n v="26.44"/>
    <n v="14.55"/>
    <n v="0.91841883936080715"/>
    <n v="0.83683767872161441"/>
  </r>
  <r>
    <s v="AI / Tech"/>
    <x v="3"/>
    <s v="Nokia Oyj (XNYS:NOK)"/>
    <n v="10.188800000000001"/>
    <n v="10.56"/>
    <n v="4"/>
    <n v="0.94341463414634152"/>
    <n v="0.88682926829268294"/>
  </r>
  <r>
    <s v="AI / Tech"/>
    <x v="3"/>
    <s v="Telefonaktiebolaget LM Ericsson (XNAS:ERIC)"/>
    <n v="12.0001"/>
    <n v="12.115"/>
    <n v="7.1550000000000002"/>
    <n v="0.9768346774193547"/>
    <n v="0.95366935483870963"/>
  </r>
  <r>
    <s v="AI / Tech"/>
    <x v="4"/>
    <s v="PALO ALTO NETWORKS, INC. (XNAS:PANW)"/>
    <n v="167.07"/>
    <n v="223.61"/>
    <n v="139.57060000000001"/>
    <n v="0.32722032760824066"/>
    <n v="-0.34555934478351868"/>
  </r>
  <r>
    <s v="AI / Tech"/>
    <x v="4"/>
    <s v="CROWDSTRIKE HOLDINGS, INC. (XNAS:CRWD)"/>
    <n v="419.29"/>
    <n v="566.9"/>
    <n v="342.72"/>
    <n v="0.34155589258631464"/>
    <n v="-0.31688821482737078"/>
  </r>
  <r>
    <s v="AI / Tech"/>
    <x v="4"/>
    <s v="FORTINET, INC. (XNAS:FTNT)"/>
    <n v="82.24"/>
    <n v="109.33"/>
    <n v="70.12"/>
    <n v="0.30910482019892865"/>
    <n v="-0.38179035960214236"/>
  </r>
  <r>
    <s v="AI / Tech"/>
    <x v="4"/>
    <s v="ZSCALER, INC. (XNAS:ZS)"/>
    <n v="134.80000000000001"/>
    <n v="336.99"/>
    <n v="114.625"/>
    <n v="9.0729206484833541E-2"/>
    <n v="-0.81854158703033286"/>
  </r>
  <r>
    <s v="AI / Tech"/>
    <x v="4"/>
    <s v="OKTA, INC. (XNAS:OKTA)"/>
    <n v="71.73"/>
    <n v="127.56699999999999"/>
    <n v="62.66"/>
    <n v="0.13973839493429072"/>
    <n v="-0.72052321013141829"/>
  </r>
  <r>
    <s v="AI / Tech"/>
    <x v="4"/>
    <s v="CLOUDFLARE, INC. (XNYS:NET)"/>
    <n v="198.26499999999999"/>
    <n v="260"/>
    <n v="100.25"/>
    <n v="0.6135524256651016"/>
    <n v="0.22710485133020328"/>
  </r>
  <r>
    <s v="ENERGY / POWER"/>
    <x v="5"/>
    <s v="NEXTERA ENERGY, INC. (XNYS:NEE)"/>
    <n v="90.79"/>
    <n v="96.204999999999998"/>
    <n v="63.64"/>
    <n v="0.83371718102257053"/>
    <n v="0.66743436204514095"/>
  </r>
  <r>
    <s v="ENERGY / POWER"/>
    <x v="5"/>
    <s v="DUKE ENERGY CORPORATION (XNYS:DUK)"/>
    <n v="127.43"/>
    <n v="134.49"/>
    <n v="111.22"/>
    <n v="0.69660507090674695"/>
    <n v="0.39321014181349384"/>
  </r>
  <r>
    <s v="ENERGY / POWER"/>
    <x v="5"/>
    <s v="THE SOUTHERN COMPANY (XNYS:SO)"/>
    <n v="94.1"/>
    <n v="100.83499999999999"/>
    <n v="83.09"/>
    <n v="0.62045646661031262"/>
    <n v="0.24091293322062438"/>
  </r>
  <r>
    <s v="ENERGY / POWER"/>
    <x v="5"/>
    <s v="EXELON CORPORATION (XNAS:EXC)"/>
    <n v="47.17"/>
    <n v="50.65"/>
    <n v="41.704999999999998"/>
    <n v="0.61095584125209645"/>
    <n v="0.2219116825041938"/>
  </r>
  <r>
    <s v="ENERGY / POWER"/>
    <x v="5"/>
    <s v="AMERICAN ELECTRIC POWER COMPANY, INC. (XNAS:AEP)"/>
    <n v="133.38"/>
    <n v="137.74"/>
    <n v="97.46"/>
    <n v="0.89175769612710998"/>
    <n v="0.78351539225422018"/>
  </r>
  <r>
    <s v="ENERGY / POWER"/>
    <x v="5"/>
    <s v="Xcel Energy Inc. (XNAS:XEL)"/>
    <n v="80.435000000000002"/>
    <n v="84.23"/>
    <n v="65.209999999999994"/>
    <n v="0.80047318611987384"/>
    <n v="0.60094637223974767"/>
  </r>
  <r>
    <s v="ENERGY / POWER"/>
    <x v="5"/>
    <s v="E.ON SE (XFRA:EOAN)"/>
    <n v="19.204999999999998"/>
    <n v="20.43"/>
    <n v="7.3"/>
    <n v="0.90670220868240659"/>
    <n v="0.81340441736481317"/>
  </r>
  <r>
    <s v="ENERGY / POWER"/>
    <x v="6"/>
    <s v="EATON CORPORATION PUBLIC LIMITED COMPANY (XNYS:ETN)"/>
    <n v="392.26"/>
    <n v="408.45"/>
    <n v="255.1"/>
    <n v="0.89442451907401366"/>
    <n v="0.78884903814802765"/>
  </r>
  <r>
    <s v="ENERGY / POWER"/>
    <x v="6"/>
    <s v="ABB Ltd (XSWX:ABBN)"/>
    <n v="72.44"/>
    <n v="73"/>
    <n v="40.74"/>
    <n v="0.98264104153750764"/>
    <n v="0.96528208307501517"/>
  </r>
  <r>
    <s v="ENERGY / POWER"/>
    <x v="6"/>
    <s v="SUNCOR ENERGY INC. (XNYS:SU)"/>
    <n v="63.555"/>
    <n v="67.760000000000005"/>
    <n v="33.39"/>
    <n v="0.87765493162641828"/>
    <n v="0.75530986325283644"/>
  </r>
  <r>
    <s v="ENERGY / POWER"/>
    <x v="6"/>
    <s v="Siemens Aktiengesellschaft (XETR:SIE)"/>
    <n v="239.6"/>
    <n v="275.75"/>
    <n v="180.96"/>
    <n v="0.61863065724232502"/>
    <n v="0.23726131448464979"/>
  </r>
  <r>
    <s v="ENERGY / POWER"/>
    <x v="6"/>
    <s v="GENERAL ELECTRIC COMPANY (XNYS:GE)"/>
    <n v="301.32"/>
    <n v="348.48"/>
    <n v="176.02"/>
    <n v="0.72654528586338851"/>
    <n v="0.45309057172677714"/>
  </r>
  <r>
    <s v="ENERGY / POWER"/>
    <x v="6"/>
    <s v="QUANTA SERVICES, INC. (XNYS:PWR)"/>
    <n v="581.04"/>
    <n v="599"/>
    <n v="251.04"/>
    <n v="0.9483848718243475"/>
    <n v="0.89676974364869511"/>
  </r>
  <r>
    <s v="ENERGY / POWER"/>
    <x v="6"/>
    <s v="HUBBELL INCORPORATED (XNYS:HUBB)"/>
    <n v="522.505"/>
    <n v="548.97"/>
    <n v="325.08"/>
    <n v="0.8817946312921523"/>
    <n v="0.76358926258430482"/>
  </r>
  <r>
    <s v="ENERGY / POWER"/>
    <x v="7"/>
    <s v="CAMECO CORPORATION (XNYS:CCJ)"/>
    <n v="119.97"/>
    <n v="135.24"/>
    <n v="38.975000000000001"/>
    <n v="0.84137537007219643"/>
    <n v="0.68275074014439296"/>
  </r>
  <r>
    <s v="ENERGY / POWER"/>
    <x v="7"/>
    <s v="BWX TECHNOLOGIES, INC. (XNYS:BWXT)"/>
    <n v="231.72499999999999"/>
    <n v="241.82"/>
    <n v="99.63"/>
    <n v="0.92900344609325547"/>
    <n v="0.85800689218651105"/>
  </r>
  <r>
    <s v="ENERGY / POWER"/>
    <x v="7"/>
    <s v="Nuscale Power (XNYS:SMR)"/>
    <n v="11.484999999999999"/>
    <n v="57.42"/>
    <n v="8.85"/>
    <n v="5.4251595635165732E-2"/>
    <n v="-0.89149680872966841"/>
  </r>
  <r>
    <s v="ENERGY / POWER"/>
    <x v="7"/>
    <s v="URANIUM ENERGY CORP. (XNYS:UEC)"/>
    <n v="15.07"/>
    <n v="20.34"/>
    <n v="4.5800999999999998"/>
    <n v="0.66560701527293953"/>
    <n v="0.33121403054587928"/>
  </r>
  <r>
    <s v="ENERGY / POWER"/>
    <x v="7"/>
    <s v="NEXGEN ENERGY LTD. (XNYS:NXE)"/>
    <n v="12.574999999999999"/>
    <n v="13.96"/>
    <n v="4.3899999999999997"/>
    <n v="0.85527690700104475"/>
    <n v="0.7105538140020895"/>
  </r>
  <r>
    <s v="ENERGY / POWER"/>
    <x v="7"/>
    <s v="DENISON MINES CORP. (XNYS:DNN)"/>
    <n v="3.9499"/>
    <n v="4.43"/>
    <n v="1.24"/>
    <n v="0.84949843260188107"/>
    <n v="0.69899686520376192"/>
  </r>
  <r>
    <s v="ENERGY / POWER"/>
    <x v="7"/>
    <s v="CENTRUS ENERGY CORP. (XNYS:LEU)"/>
    <n v="200.71"/>
    <n v="464.25"/>
    <n v="60.52"/>
    <n v="0.34723701483664826"/>
    <n v="-0.30552597032670337"/>
  </r>
  <r>
    <s v="ENERGY / POWER"/>
    <x v="7"/>
    <s v="Oklo (XNYS:OKLO)"/>
    <n v="62.805"/>
    <n v="193.84"/>
    <n v="19.89"/>
    <n v="0.24670882437482036"/>
    <n v="-0.50658235125035944"/>
  </r>
  <r>
    <s v="ENERGY / POWER"/>
    <x v="8"/>
    <s v="ENPHASE ENERGY, INC. (XNAS:ENPH)"/>
    <n v="31.38"/>
    <n v="54.72"/>
    <n v="25.774999999999999"/>
    <n v="0.19364311625496633"/>
    <n v="-0.61271376749006756"/>
  </r>
  <r>
    <s v="ENERGY / POWER"/>
    <x v="8"/>
    <s v="SOLAREDGE TECHNOLOGIES, INC. (XNAS:SEDG)"/>
    <n v="38.085000000000001"/>
    <n v="53.75"/>
    <n v="11.45"/>
    <n v="0.62966903073286062"/>
    <n v="0.25933806146572103"/>
  </r>
  <r>
    <s v="ENERGY / POWER"/>
    <x v="8"/>
    <s v="FIRST SOLAR, INC. (XNAS:FSLR)"/>
    <n v="190.565"/>
    <n v="285.99"/>
    <n v="119.09010000000001"/>
    <n v="0.42825010680054326"/>
    <n v="-0.14349978639891348"/>
  </r>
  <r>
    <s v="ENERGY / POWER"/>
    <x v="8"/>
    <s v="NEXTERA ENERGY, INC. (XNYS:NEE)"/>
    <n v="90.79"/>
    <n v="96.204999999999998"/>
    <n v="63.64"/>
    <n v="0.83371718102257053"/>
    <n v="0.66743436204514095"/>
  </r>
  <r>
    <s v="ENERGY / POWER"/>
    <x v="8"/>
    <s v="BROOKFIELD RENEWABLE CORPORATION (XNYS:BEPC)"/>
    <n v="43.56"/>
    <n v="45.18"/>
    <n v="26.164999999999999"/>
    <n v="0.91480410202471751"/>
    <n v="0.82960820404943492"/>
  </r>
  <r>
    <s v="ENERGY / POWER"/>
    <x v="8"/>
    <s v="Vestas Wind Systems A/S (XETR:VWSB)"/>
    <n v="26.4"/>
    <n v="27.14"/>
    <n v="11.335000000000001"/>
    <n v="0.95317937361594418"/>
    <n v="0.90635874723188836"/>
  </r>
  <r>
    <s v="ENERGY / POWER"/>
    <x v="8"/>
    <s v="SUNRUN INC. (XNAS:RUN)"/>
    <n v="11.8148"/>
    <n v="22.44"/>
    <n v="5.38"/>
    <n v="0.37718640093786632"/>
    <n v="-0.24562719812426728"/>
  </r>
  <r>
    <s v="ENERGY / POWER"/>
    <x v="9"/>
    <s v="EXXON MOBIL CORPORATION (XNYS:XOM)"/>
    <n v="152.29"/>
    <n v="176.41"/>
    <n v="101.185"/>
    <n v="0.67936191425722825"/>
    <n v="0.35872382851445606"/>
  </r>
  <r>
    <s v="ENERGY / POWER"/>
    <x v="9"/>
    <s v="CVS HEALTH CORPORATION (XNYS:CVS)"/>
    <n v="75.44"/>
    <n v="85.15"/>
    <n v="58.35"/>
    <n v="0.63768656716417882"/>
    <n v="0.27537313432835797"/>
  </r>
  <r>
    <s v="ENERGY / POWER"/>
    <x v="9"/>
    <s v="SHELL PLC (XNYS:SHEL)"/>
    <n v="91.43"/>
    <n v="94.9"/>
    <n v="63.77"/>
    <n v="0.88853196273690982"/>
    <n v="0.77706392547381931"/>
  </r>
  <r>
    <s v="ENERGY / POWER"/>
    <x v="9"/>
    <s v="BP P.L.C. (XLON:BP.)"/>
    <n v="584"/>
    <n v="609.4"/>
    <n v="337.65"/>
    <n v="0.9065317387304509"/>
    <n v="0.81306347746090168"/>
  </r>
  <r>
    <s v="ENERGY / POWER"/>
    <x v="9"/>
    <s v="TotalEnergies SE (XNYS:TTE)"/>
    <n v="90.74"/>
    <n v="93.49"/>
    <n v="62.155000000000001"/>
    <n v="0.91223871070687723"/>
    <n v="0.82447742141375502"/>
  </r>
  <r>
    <s v="ENERGY / POWER"/>
    <x v="9"/>
    <s v="CONOCOPHILLIPS (XNYS:COP)"/>
    <n v="121.435"/>
    <n v="135.87"/>
    <n v="84.28"/>
    <n v="0.7201977127350262"/>
    <n v="0.44039542547005228"/>
  </r>
  <r>
    <s v="ENERGY / POWER"/>
    <x v="9"/>
    <s v="EUROPA OIL &amp; GAS (HOLDINGS) PLC (XLON:EOG)"/>
    <n v="1.575"/>
    <n v="2.4"/>
    <n v="0.45"/>
    <n v="0.57692307692307698"/>
    <n v="0.15384615384615377"/>
  </r>
  <r>
    <s v="HEALTHCARE"/>
    <x v="10"/>
    <s v="ELI LILLY AND COMPANY (XNYS:LLY)"/>
    <n v="902.63499999999999"/>
    <n v="1133.95"/>
    <n v="623.78"/>
    <n v="0.54659231236646599"/>
    <n v="9.318462473293207E-2"/>
  </r>
  <r>
    <s v="HEALTHCARE"/>
    <x v="10"/>
    <s v="Novo Nordisk A/S (XNYS:NVO)"/>
    <n v="40.78"/>
    <n v="81.44"/>
    <n v="35.119999999999997"/>
    <n v="0.12219343696027642"/>
    <n v="-0.75561312607944731"/>
  </r>
  <r>
    <s v="HEALTHCARE"/>
    <x v="10"/>
    <s v="PFIZER INC. (XNYS:PFE)"/>
    <n v="27.24"/>
    <n v="28.745000000000001"/>
    <n v="21.87"/>
    <n v="0.78109090909090872"/>
    <n v="0.56218181818181745"/>
  </r>
  <r>
    <s v="HEALTHCARE"/>
    <x v="10"/>
    <s v="MERCK &amp; CO., INC. (XNYS:MRK)"/>
    <n v="115.42"/>
    <n v="125.14"/>
    <n v="73.31"/>
    <n v="0.81246382404013118"/>
    <n v="0.62492764808026269"/>
  </r>
  <r>
    <s v="HEALTHCARE"/>
    <x v="10"/>
    <s v="ABT (XASX:ABV)"/>
    <n v="0.13"/>
    <n v="0.16"/>
    <n v="7.2999999999999995E-2"/>
    <n v="0.65517241379310354"/>
    <n v="0.31034482758620713"/>
  </r>
  <r>
    <s v="HEALTHCARE"/>
    <x v="10"/>
    <s v="ASTRAZENECA PLC (XNYS:AZN)"/>
    <n v="200.16"/>
    <n v="212.71"/>
    <n v="129.15"/>
    <n v="0.84980852082336034"/>
    <n v="0.69961704164672067"/>
  </r>
  <r>
    <s v="HEALTHCARE"/>
    <x v="10"/>
    <s v="BRISTOL-MYERS SQUIBB COMPANY (XNYS:BMY)"/>
    <n v="58.284999999999997"/>
    <n v="62.886400000000002"/>
    <n v="42.52"/>
    <n v="0.77406905491397571"/>
    <n v="0.54813810982795141"/>
  </r>
  <r>
    <s v="HEALTHCARE"/>
    <x v="11"/>
    <s v="REGENERON PHARMACEUTICALS, INC. (XNAS:REGN)"/>
    <n v="749.72"/>
    <n v="821.11"/>
    <n v="476.48689999999999"/>
    <n v="0.79284615569879102"/>
    <n v="0.58569231139758193"/>
  </r>
  <r>
    <s v="HEALTHCARE"/>
    <x v="11"/>
    <s v="VERTEX PHARMACEUTICALS INCORPORATED (XNAS:VRTX)"/>
    <n v="438.81"/>
    <n v="510.77"/>
    <n v="362.5"/>
    <n v="0.51466918459567013"/>
    <n v="2.933836919134028E-2"/>
  </r>
  <r>
    <s v="HEALTHCARE"/>
    <x v="11"/>
    <s v="BIOGEN INC. (XNAS:BIIB)"/>
    <n v="176.11"/>
    <n v="202.41"/>
    <n v="114.66"/>
    <n v="0.70028490028490042"/>
    <n v="0.40056980056980096"/>
  </r>
  <r>
    <s v="HEALTHCARE"/>
    <x v="11"/>
    <s v="GILEAD SCIENCES, INC. (XNAS:GILD)"/>
    <n v="138.4573"/>
    <n v="157.29"/>
    <n v="93.37"/>
    <n v="0.70537077596996256"/>
    <n v="0.41074155193992518"/>
  </r>
  <r>
    <s v="HEALTHCARE"/>
    <x v="11"/>
    <s v="MODERNA, INC. (XNAS:MRNA)"/>
    <n v="53.484999999999999"/>
    <n v="59.55"/>
    <n v="22.28"/>
    <n v="0.83726858062785081"/>
    <n v="0.67453716125570173"/>
  </r>
  <r>
    <s v="HEALTHCARE"/>
    <x v="11"/>
    <s v="INCYTE CORPORATION (XNAS:INCY)"/>
    <n v="95.135000000000005"/>
    <n v="112.29"/>
    <n v="56.13"/>
    <n v="0.6945334757834758"/>
    <n v="0.38906695156695142"/>
  </r>
  <r>
    <s v="HEALTHCARE"/>
    <x v="11"/>
    <s v="ALNYLAM PHARMACEUTICALS, INC. (XNAS:ALNY)"/>
    <n v="326.82499999999999"/>
    <n v="495.55"/>
    <n v="225.84479999999999"/>
    <n v="0.37440954049087671"/>
    <n v="-0.2511809190182468"/>
  </r>
  <r>
    <s v="HEALTHCARE"/>
    <x v="12"/>
    <s v="INTUITIVE SURGICAL, INC. (XNAS:ISRG)"/>
    <n v="455.99"/>
    <n v="603.88"/>
    <n v="427.83600000000001"/>
    <n v="0.15992592760900684"/>
    <n v="-0.68014814478198571"/>
  </r>
  <r>
    <s v="HEALTHCARE"/>
    <x v="12"/>
    <s v="ABBOTT LABORATORIES (XNYS:ABT)"/>
    <n v="94.23"/>
    <n v="139.06"/>
    <n v="94.23"/>
    <n v="0"/>
    <n v="-1.0000000000000002"/>
  </r>
  <r>
    <s v="HEALTHCARE"/>
    <x v="12"/>
    <s v="MEDTRONIC PUBLIC LIMITED COMPANY (XNYS:MDT)"/>
    <n v="86.3"/>
    <n v="106.33"/>
    <n v="79.930000000000007"/>
    <n v="0.2412878787878785"/>
    <n v="-0.51742424242424245"/>
  </r>
  <r>
    <s v="HEALTHCARE"/>
    <x v="12"/>
    <s v="BOSTON SCIENTIFIC CORPORATION (XNYS:BSX)"/>
    <n v="63.86"/>
    <n v="109.5"/>
    <n v="60.59"/>
    <n v="6.6857493355142017E-2"/>
    <n v="-0.86628501328971597"/>
  </r>
  <r>
    <s v="HEALTHCARE"/>
    <x v="12"/>
    <s v="CHAMPION HOMES, INC (XNYS:SKY)"/>
    <n v="75.915000000000006"/>
    <n v="99.165099999999995"/>
    <n v="59.44"/>
    <n v="0.41472519892964421"/>
    <n v="-0.17054960214071158"/>
  </r>
  <r>
    <s v="HEALTHCARE"/>
    <x v="12"/>
    <s v="EDWARDS LIFESCIENCES CORPORATION (XNYS:EW)"/>
    <n v="77.990899999999996"/>
    <n v="87.89"/>
    <n v="68.63"/>
    <n v="0.48602803738317751"/>
    <n v="-2.7943925233644289E-2"/>
  </r>
  <r>
    <s v="HEALTHCARE"/>
    <x v="12"/>
    <s v="DEXCOM, INC. (XNAS:DXCM)"/>
    <n v="61.57"/>
    <n v="89.98"/>
    <n v="54.11"/>
    <n v="0.20797323668804013"/>
    <n v="-0.58405352662391974"/>
  </r>
  <r>
    <s v="HEALTHCARE"/>
    <x v="13"/>
    <s v="ELI LILLY AND COMPANY (XNYS:LLY)"/>
    <n v="902.63499999999999"/>
    <n v="1133.95"/>
    <n v="623.78"/>
    <n v="0.54659231236646599"/>
    <n v="9.318462473293207E-2"/>
  </r>
  <r>
    <s v="HEALTHCARE"/>
    <x v="13"/>
    <s v="Novo Nordisk A/S (XNYS:NVO)"/>
    <n v="40.78"/>
    <n v="81.44"/>
    <n v="35.119999999999997"/>
    <n v="0.12219343696027642"/>
    <n v="-0.75561312607944731"/>
  </r>
  <r>
    <s v="HEALTHCARE"/>
    <x v="13"/>
    <s v="ALTIMMUNE, INC. (XNAS:ALT)"/>
    <n v="3.395"/>
    <n v="7.73"/>
    <n v="2.87"/>
    <n v="0.10802469135802467"/>
    <n v="-0.78395061728395088"/>
  </r>
  <r>
    <s v="HEALTHCARE"/>
    <x v="13"/>
    <s v="VIKING THERAPEUTICS, INC. (XNAS:VKTX)"/>
    <n v="35.42"/>
    <n v="43.15"/>
    <n v="21.23"/>
    <n v="0.64735401459854025"/>
    <n v="0.29470802919708067"/>
  </r>
  <r>
    <s v="HEALTHCARE"/>
    <x v="13"/>
    <s v="AMGEN INC. (XNAS:AMGN)"/>
    <n v="347.26"/>
    <n v="391.29"/>
    <n v="261.43"/>
    <n v="0.6609425535191743"/>
    <n v="0.32188510703834861"/>
  </r>
  <r>
    <s v="HEALTHCARE"/>
    <x v="13"/>
    <s v="PFIZER INC. (XNYS:PFE)"/>
    <n v="27.24"/>
    <n v="28.745000000000001"/>
    <n v="21.87"/>
    <n v="0.78109090909090872"/>
    <n v="0.56218181818181745"/>
  </r>
  <r>
    <s v="HEALTHCARE"/>
    <x v="13"/>
    <s v="Roche Holding AG (OTCM:RHHBY)"/>
    <n v="49.96"/>
    <n v="60.85"/>
    <n v="35.07"/>
    <n v="0.57757951900698212"/>
    <n v="0.1551590380139643"/>
  </r>
  <r>
    <s v="INDUSTRIALS"/>
    <x v="14"/>
    <s v="ROCKWELL AUTOMATION, INC. (XNYS:ROK)"/>
    <n v="401.02010000000001"/>
    <n v="438.72"/>
    <n v="222.06"/>
    <n v="0.82599510754177052"/>
    <n v="0.65199021508354116"/>
  </r>
  <r>
    <s v="INDUSTRIALS"/>
    <x v="14"/>
    <s v="Siemens Aktiengesellschaft (XETR:SIE)"/>
    <n v="239.6"/>
    <n v="275.75"/>
    <n v="180.96"/>
    <n v="0.61863065724232502"/>
    <n v="0.23726131448464979"/>
  </r>
  <r>
    <s v="INDUSTRIALS"/>
    <x v="14"/>
    <s v="ABB Ltd (XSWX:ABBN)"/>
    <n v="72.44"/>
    <n v="73"/>
    <n v="40.74"/>
    <n v="0.98264104153750764"/>
    <n v="0.96528208307501517"/>
  </r>
  <r>
    <s v="INDUSTRIALS"/>
    <x v="14"/>
    <s v="EMERSON ELECTRIC CO. (XNYS:EMR)"/>
    <n v="139.74"/>
    <n v="165.15"/>
    <n v="95.31"/>
    <n v="0.63616838487972516"/>
    <n v="0.27233676975944987"/>
  </r>
  <r>
    <s v="INDUSTRIALS"/>
    <x v="14"/>
    <s v="HONEYWELL INTERNATIONAL INCORPORATION (XNAS:HON)"/>
    <n v="230.55500000000001"/>
    <n v="248.18"/>
    <n v="181.0087"/>
    <n v="0.73761115238204411"/>
    <n v="0.47522230476408783"/>
  </r>
  <r>
    <s v="INDUSTRIALS"/>
    <x v="14"/>
    <s v="EATON CORPORATION PUBLIC LIMITED COMPANY (XNYS:ETN)"/>
    <n v="392.26"/>
    <n v="408.45"/>
    <n v="255.1"/>
    <n v="0.89442451907401366"/>
    <n v="0.78884903814802765"/>
  </r>
  <r>
    <s v="INDUSTRIALS"/>
    <x v="14"/>
    <s v="FANUC CORPORATION (OTCM:FANUY)"/>
    <n v="19.64"/>
    <n v="23"/>
    <n v="11.48"/>
    <n v="0.70833333333333337"/>
    <n v="0.41666666666666641"/>
  </r>
  <r>
    <s v="INDUSTRIALS"/>
    <x v="15"/>
    <s v="ABB Ltd (XSWX:ABBN)"/>
    <n v="72.44"/>
    <n v="73"/>
    <n v="40.74"/>
    <n v="0.98264104153750764"/>
    <n v="0.96528208307501517"/>
  </r>
  <r>
    <s v="INDUSTRIALS"/>
    <x v="15"/>
    <s v="FANUC CORPORATION (OTCM:FANUY)"/>
    <n v="19.64"/>
    <n v="23"/>
    <n v="11.48"/>
    <n v="0.70833333333333337"/>
    <n v="0.41666666666666641"/>
  </r>
  <r>
    <s v="INDUSTRIALS"/>
    <x v="15"/>
    <s v="TERADYNE, INC. (XNAS:TER)"/>
    <n v="361.2"/>
    <n v="373"/>
    <n v="68.239999999999995"/>
    <n v="0.96128100800630001"/>
    <n v="0.92256201601260002"/>
  </r>
  <r>
    <s v="INDUSTRIALS"/>
    <x v="15"/>
    <s v="SYMBOTIC INC. (XNAS:SYM)"/>
    <n v="59.239899999999999"/>
    <n v="87.88"/>
    <n v="19.14"/>
    <n v="0.58335612452720398"/>
    <n v="0.16671224905440796"/>
  </r>
  <r>
    <s v="INDUSTRIALS"/>
    <x v="15"/>
    <s v="ROCKWELL AUTOMATION, INC. (XNYS:ROK)"/>
    <n v="401.02010000000001"/>
    <n v="438.72"/>
    <n v="222.06"/>
    <n v="0.82599510754177052"/>
    <n v="0.65199021508354116"/>
  </r>
  <r>
    <s v="INDUSTRIALS"/>
    <x v="15"/>
    <s v="ZEBRA TECHNOLOGIES CORPORATION (XNAS:ZBRA)"/>
    <n v="232.94300000000001"/>
    <n v="352.66"/>
    <n v="199.05"/>
    <n v="0.22064318729249396"/>
    <n v="-0.55871362541501213"/>
  </r>
  <r>
    <s v="INDUSTRIALS"/>
    <x v="15"/>
    <s v="COGNEX CORPORATION (XNAS:CGNX)"/>
    <n v="54.69"/>
    <n v="59.88"/>
    <n v="22.85"/>
    <n v="0.85984337024034552"/>
    <n v="0.71968674048069103"/>
  </r>
  <r>
    <s v="INDUSTRIALS"/>
    <x v="16"/>
    <s v="THE BOEING COMPANY (XNYS:BA)"/>
    <n v="217.04"/>
    <n v="254.34989999999999"/>
    <n v="153.54499999999999"/>
    <n v="0.629880095114424"/>
    <n v="0.25976019022884778"/>
  </r>
  <r>
    <s v="INDUSTRIALS"/>
    <x v="16"/>
    <s v="AIR INDUSTRIES GROUP (XNYS:AIRI)"/>
    <n v="3.23"/>
    <n v="4.17"/>
    <n v="2.5499999999999998"/>
    <n v="0.41975308641975317"/>
    <n v="-0.16049382716049368"/>
  </r>
  <r>
    <s v="INDUSTRIALS"/>
    <x v="16"/>
    <s v="LOCKHEED MARTIN CORPORATION (XNYS:LMT)"/>
    <n v="602.45500000000004"/>
    <n v="692"/>
    <n v="410.11"/>
    <n v="0.68234062932349515"/>
    <n v="0.3646812586469898"/>
  </r>
  <r>
    <s v="INDUSTRIALS"/>
    <x v="16"/>
    <s v="RTX CORPORATION (XNYS:RTX)"/>
    <n v="194.13"/>
    <n v="214.5"/>
    <n v="112.63"/>
    <n v="0.80003926573083339"/>
    <n v="0.60007853146166679"/>
  </r>
  <r>
    <s v="INDUSTRIALS"/>
    <x v="16"/>
    <s v="NORTHROP GRUMMAN CORPORATION (XNYS:NOC)"/>
    <n v="670.57"/>
    <n v="774"/>
    <n v="450.13"/>
    <n v="0.68064346805817166"/>
    <n v="0.36128693611634294"/>
  </r>
  <r>
    <s v="INDUSTRIALS"/>
    <x v="16"/>
    <s v="GENERAL DYNAMICS CORPORATION (XNYS:GD)"/>
    <n v="332.53"/>
    <n v="369.7"/>
    <n v="262.83999999999997"/>
    <n v="0.65216170690623232"/>
    <n v="0.30432341381246469"/>
  </r>
  <r>
    <s v="INDUSTRIALS"/>
    <x v="16"/>
    <s v="Safran SA (XPAR:SAF)"/>
    <n v="298.2"/>
    <n v="350.8"/>
    <n v="206"/>
    <n v="0.63674033149171261"/>
    <n v="0.27348066298342555"/>
  </r>
  <r>
    <s v="INDUSTRIALS"/>
    <x v="16"/>
    <s v="ROCKET LAB CORPORATION (XNAS:RKLB)"/>
    <n v="80.349999999999994"/>
    <n v="99.58"/>
    <n v="18.21"/>
    <n v="0.76367211503010923"/>
    <n v="0.52734423006021869"/>
  </r>
  <r>
    <s v="INDUSTRIALS"/>
    <x v="17"/>
    <s v="LOCKHEED MARTIN CORPORATION (XNYS:LMT)"/>
    <n v="602.45500000000004"/>
    <n v="692"/>
    <n v="410.11"/>
    <n v="0.68234062932349515"/>
    <n v="0.3646812586469898"/>
  </r>
  <r>
    <s v="INDUSTRIALS"/>
    <x v="17"/>
    <s v="NORTHROP GRUMMAN CORPORATION (XNYS:NOC)"/>
    <n v="670.57"/>
    <n v="774"/>
    <n v="450.13"/>
    <n v="0.68064346805817166"/>
    <n v="0.36128693611634294"/>
  </r>
  <r>
    <s v="INDUSTRIALS"/>
    <x v="17"/>
    <s v="RTX CORPORATION (XNYS:RTX)"/>
    <n v="194.13"/>
    <n v="214.5"/>
    <n v="112.63"/>
    <n v="0.80003926573083339"/>
    <n v="0.60007853146166679"/>
  </r>
  <r>
    <s v="INDUSTRIALS"/>
    <x v="17"/>
    <s v="GENERAL DYNAMICS CORPORATION (XNYS:GD)"/>
    <n v="332.53"/>
    <n v="369.7"/>
    <n v="262.83999999999997"/>
    <n v="0.65216170690623232"/>
    <n v="0.30432341381246469"/>
  </r>
  <r>
    <s v="INDUSTRIALS"/>
    <x v="17"/>
    <s v="L3HARRIS TECHNOLOGIES, INC. (XNYS:LHX)"/>
    <n v="352.61500000000001"/>
    <n v="379.23"/>
    <n v="208.11009999999999"/>
    <n v="0.84446578101085845"/>
    <n v="0.6889315620217169"/>
  </r>
  <r>
    <s v="INDUSTRIALS"/>
    <x v="17"/>
    <s v="THE BOEING COMPANY (XNYS:BA)"/>
    <n v="217.04"/>
    <n v="254.34989999999999"/>
    <n v="153.54499999999999"/>
    <n v="0.629880095114424"/>
    <n v="0.25976019022884778"/>
  </r>
  <r>
    <s v="INDUSTRIALS"/>
    <x v="17"/>
    <s v="HUNTINGTON INGALLS INDUSTRIES, INC. (XNYS:HII)"/>
    <n v="395.36"/>
    <n v="460"/>
    <n v="211.49"/>
    <n v="0.73988974286749032"/>
    <n v="0.47977948573498058"/>
  </r>
  <r>
    <s v="FINANCE"/>
    <x v="18"/>
    <s v="JPMORGAN CHASE &amp; CO. (XNYS:JPM)"/>
    <n v="307.935"/>
    <n v="337.25"/>
    <n v="226.33600000000001"/>
    <n v="0.73569612492561809"/>
    <n v="0.47139224985123607"/>
  </r>
  <r>
    <s v="FINANCE"/>
    <x v="18"/>
    <s v="BANK OF AMERICA CORPORATION (XNYS:BAC)"/>
    <n v="53.685000000000002"/>
    <n v="57.55"/>
    <n v="36.494999999999997"/>
    <n v="0.81643315127048233"/>
    <n v="0.63286630254096499"/>
  </r>
  <r>
    <s v="FINANCE"/>
    <x v="18"/>
    <s v="WELLS FARGO &amp; COMPANY (XNYS:WFC)"/>
    <n v="81.424999999999997"/>
    <n v="97.76"/>
    <n v="63.37"/>
    <n v="0.52500726955510313"/>
    <n v="5.001453911020641E-2"/>
  </r>
  <r>
    <s v="FINANCE"/>
    <x v="18"/>
    <s v="THE GOLDMAN SACHS GROUP, INC. (XNYS:GS)"/>
    <n v="903.75"/>
    <n v="984.7"/>
    <n v="492.69"/>
    <n v="0.8354708237637446"/>
    <n v="0.67094164752748897"/>
  </r>
  <r>
    <s v="FINANCE"/>
    <x v="18"/>
    <s v="MORGAN STANLEY (XNYS:MS)"/>
    <n v="188.29"/>
    <n v="194.59"/>
    <n v="104.78"/>
    <n v="0.92985190958690556"/>
    <n v="0.85970381917381111"/>
  </r>
  <r>
    <s v="FINANCE"/>
    <x v="18"/>
    <s v="Deutsche Bank Aktiengesellschaft (XNYS:DB)"/>
    <n v="32.930100000000003"/>
    <n v="40.43"/>
    <n v="22.99"/>
    <n v="0.56995986238532137"/>
    <n v="0.13991972477064243"/>
  </r>
  <r>
    <s v="FINANCE"/>
    <x v="19"/>
    <s v="BLACKROCK, INC. (XNYS:BLK)"/>
    <n v="1016.17"/>
    <n v="1219.9399000000001"/>
    <n v="845.82"/>
    <n v="0.45533530827951119"/>
    <n v="-8.9329383440977336E-2"/>
  </r>
  <r>
    <s v="FINANCE"/>
    <x v="19"/>
    <s v="T. ROWE PRICE GROUP, INC. (XNAS:TROW)"/>
    <n v="95.6"/>
    <n v="118.22"/>
    <n v="82.861000000000004"/>
    <n v="0.36027602590570978"/>
    <n v="-0.27944794818858082"/>
  </r>
  <r>
    <s v="FINANCE"/>
    <x v="19"/>
    <s v="BLACKSTONE INC. (XNYS:BX)"/>
    <n v="128.81"/>
    <n v="190.08500000000001"/>
    <n v="101.73"/>
    <n v="0.30649086073227316"/>
    <n v="-0.38701827853545345"/>
  </r>
  <r>
    <s v="FINANCE"/>
    <x v="19"/>
    <s v="KKR &amp; CO. INC. (XNYS:KKR)"/>
    <n v="102.49"/>
    <n v="153.87"/>
    <n v="82.67"/>
    <n v="0.27837078651685382"/>
    <n v="-0.44325842696629253"/>
  </r>
  <r>
    <s v="FINANCE"/>
    <x v="19"/>
    <s v="APOLLO GLOBAL MANAGEMENT, INC. (XNYS:APO)"/>
    <n v="122.06"/>
    <n v="157.28"/>
    <n v="99.56"/>
    <n v="0.38981288981288981"/>
    <n v="-0.22037422037422086"/>
  </r>
  <r>
    <s v="FINANCE"/>
    <x v="19"/>
    <s v="BROOKFIELD ASSET MANAGEMENT LTD. (XNYS:BAM)"/>
    <n v="48.47"/>
    <n v="64.099999999999994"/>
    <n v="42.2"/>
    <n v="0.28630136986301363"/>
    <n v="-0.42739726027397273"/>
  </r>
  <r>
    <s v="FINANCE"/>
    <x v="19"/>
    <s v="THE CHARLES SCHWAB CORPORATION (XNYS:SCHW)"/>
    <n v="94.92"/>
    <n v="107.5"/>
    <n v="73.760000000000005"/>
    <n v="0.62714878482513337"/>
    <n v="0.25429756965026717"/>
  </r>
  <r>
    <s v="FINANCE"/>
    <x v="20"/>
    <s v="Adyen NV (XAMS:ADYEN)"/>
    <n v="958"/>
    <n v="1750.4"/>
    <n v="824.4"/>
    <n v="0.14427645788336935"/>
    <n v="-0.71144708423326142"/>
  </r>
  <r>
    <s v="FINANCE"/>
    <x v="20"/>
    <s v="PAYPAL HOLDINGS, INC. (XNAS:PYPL)"/>
    <n v="49.484999999999999"/>
    <n v="79.5"/>
    <n v="38.46"/>
    <n v="0.26864035087719296"/>
    <n v="-0.46271929824561425"/>
  </r>
  <r>
    <s v="FINANCE"/>
    <x v="20"/>
    <s v="Nu Holdings Ltd. (XNYS:NU)"/>
    <n v="15.37"/>
    <n v="18.98"/>
    <n v="10.55"/>
    <n v="0.57176749703440077"/>
    <n v="0.14353499406880157"/>
  </r>
  <r>
    <s v="FINANCE"/>
    <x v="20"/>
    <s v="SOFI TECHNOLOGIES, INC. (XNAS:SOFI)"/>
    <n v="19.065000000000001"/>
    <n v="32.729999999999997"/>
    <n v="10.41"/>
    <n v="0.38776881720430117"/>
    <n v="-0.22446236559139779"/>
  </r>
  <r>
    <s v="FINANCE"/>
    <x v="20"/>
    <s v="AFFIRM HOLDINGS, INC. (XNAS:AFRM)"/>
    <n v="59.72"/>
    <n v="100"/>
    <n v="39.35"/>
    <n v="0.33586150041220114"/>
    <n v="-0.32827699917559766"/>
  </r>
  <r>
    <s v="FINANCE"/>
    <x v="20"/>
    <s v="ROBINHOOD MARKETS, INC. (XNAS:HOOD)"/>
    <n v="86.35"/>
    <n v="153.85990000000001"/>
    <n v="39.21"/>
    <n v="0.41116477205823987"/>
    <n v="-0.17767045588352043"/>
  </r>
  <r>
    <s v="FINANCE"/>
    <x v="20"/>
    <s v="Adyen NV (OTCM:ADYEY)"/>
    <n v="11.225"/>
    <n v="19.940000000000001"/>
    <n v="9.4499999999999993"/>
    <n v="0.16920877025738798"/>
    <n v="-0.66158245948522398"/>
  </r>
  <r>
    <s v="CONSUMER"/>
    <x v="21"/>
    <s v="THE PROCTER &amp; GAMBLE COMPANY (XNYS:PG)"/>
    <n v="142.79990000000001"/>
    <n v="171.65"/>
    <n v="137.62"/>
    <n v="0.15221569203643853"/>
    <n v="-0.69556861592712205"/>
  </r>
  <r>
    <s v="CONSUMER"/>
    <x v="21"/>
    <s v="THE COCA-COLA COMPANY (XNYS:KO)"/>
    <n v="74.944999999999993"/>
    <n v="82"/>
    <n v="65.353800000000007"/>
    <n v="0.57617954848553965"/>
    <n v="0.15235909697107933"/>
  </r>
  <r>
    <s v="CONSUMER"/>
    <x v="21"/>
    <s v="Pepsico, Inc. (XNAS:PEP)"/>
    <n v="158.245"/>
    <n v="171.48"/>
    <n v="127.6"/>
    <n v="0.69838195077484078"/>
    <n v="0.39676390154968155"/>
  </r>
  <r>
    <s v="CONSUMER"/>
    <x v="21"/>
    <s v="WALMART INC. (XNAS:WMT)"/>
    <n v="124.66"/>
    <n v="134.69"/>
    <n v="90.61"/>
    <n v="0.77245916515426494"/>
    <n v="0.54491833030852954"/>
  </r>
  <r>
    <s v="CONSUMER"/>
    <x v="21"/>
    <s v="COSTCO WHOLESALE CORPORATION (XNAS:COST)"/>
    <n v="985.76499999999999"/>
    <n v="1067.08"/>
    <n v="844.06"/>
    <n v="0.63539144471347886"/>
    <n v="0.27078288942695772"/>
  </r>
  <r>
    <s v="CONSUMER"/>
    <x v="21"/>
    <s v="Mondelez International, Inc. (XNAS:MDLZ)"/>
    <n v="56.78"/>
    <n v="71.150000000000006"/>
    <n v="51.200800000000001"/>
    <n v="0.27967036272131207"/>
    <n v="-0.44065927455737586"/>
  </r>
  <r>
    <s v="CONSUMER"/>
    <x v="21"/>
    <s v="Nestle Ltd. (XSWX:NESN)"/>
    <n v="78.739999999999995"/>
    <n v="89.43"/>
    <n v="69.900000000000006"/>
    <n v="0.45263696876600046"/>
    <n v="-9.4726062467999111E-2"/>
  </r>
  <r>
    <s v="CONSUMER"/>
    <x v="22"/>
    <s v="AMAZON.COM, INC. (XNAS:AMZN)"/>
    <n v="248.51"/>
    <n v="258.60000000000002"/>
    <n v="165.285"/>
    <n v="0.89187161763917877"/>
    <n v="0.78374323527835799"/>
  </r>
  <r>
    <s v="CONSUMER"/>
    <x v="22"/>
    <s v="TESLA, INC. (XNAS:TSLA)"/>
    <n v="388.3766"/>
    <n v="498.83"/>
    <n v="222.79"/>
    <n v="0.59986451238950889"/>
    <n v="0.19972902477901752"/>
  </r>
  <r>
    <s v="CONSUMER"/>
    <x v="22"/>
    <s v="THE HOME DEPOT, INC. (XNYS:HD)"/>
    <n v="337.875"/>
    <n v="426.75"/>
    <n v="315.31"/>
    <n v="0.2024856424982053"/>
    <n v="-0.59502871500358889"/>
  </r>
  <r>
    <s v="CONSUMER"/>
    <x v="22"/>
    <s v="MCDONALD'S CORPORATION (XNYS:MCD)"/>
    <n v="306.77"/>
    <n v="341.75"/>
    <n v="283.47000000000003"/>
    <n v="0.39979409746053474"/>
    <n v="-0.2004118050789305"/>
  </r>
  <r>
    <s v="CONSUMER"/>
    <x v="22"/>
    <s v="NIKE, INC. (XNYS:NKE)"/>
    <n v="45.945"/>
    <n v="80.165000000000006"/>
    <n v="42.09"/>
    <n v="0.10124753775443195"/>
    <n v="-0.79750492449113608"/>
  </r>
  <r>
    <s v="CONSUMER"/>
    <x v="22"/>
    <s v="STARBUCKS CORPORATION (XNAS:SBUX)"/>
    <n v="97.9"/>
    <n v="104.82"/>
    <n v="75.5"/>
    <n v="0.7639836289222377"/>
    <n v="0.52796725784447551"/>
  </r>
  <r>
    <s v="CONSUMER"/>
    <x v="22"/>
    <s v="BOOKING HOLDINGS INC. (XNAS:BKNG)"/>
    <n v="185.84"/>
    <n v="233.57650000000001"/>
    <n v="150.61799999999999"/>
    <n v="0.4245737326494573"/>
    <n v="-0.15085253470108542"/>
  </r>
  <r>
    <s v="CONSUMER"/>
    <x v="23"/>
    <s v="AMAZON.COM, INC. (XNAS:AMZN)"/>
    <n v="248.51"/>
    <n v="258.60000000000002"/>
    <n v="165.285"/>
    <n v="0.89187161763917877"/>
    <n v="0.78374323527835799"/>
  </r>
  <r>
    <s v="CONSUMER"/>
    <x v="23"/>
    <s v="Alibaba Group Holding Limited (XNYS:BABA)"/>
    <n v="139.065"/>
    <n v="192.67"/>
    <n v="103.71"/>
    <n v="0.39742580935251803"/>
    <n v="-0.20514838129496404"/>
  </r>
  <r>
    <s v="CONSUMER"/>
    <x v="23"/>
    <s v="MercadoLibre, Inc. (XNAS:MELI)"/>
    <n v="1841.14"/>
    <n v="2645.22"/>
    <n v="1593.21"/>
    <n v="0.23567266470851048"/>
    <n v="-0.52865467058297944"/>
  </r>
  <r>
    <s v="CONSUMER"/>
    <x v="23"/>
    <s v="JD.COM, INC. (XNAS:JD)"/>
    <n v="31.629899999999999"/>
    <n v="38.08"/>
    <n v="24.507999999999999"/>
    <n v="0.52474948423224288"/>
    <n v="4.9498968464486051E-2"/>
  </r>
  <r>
    <s v="CONSUMER"/>
    <x v="23"/>
    <s v="SHOPIFY INC. (XNAS:SHOP)"/>
    <n v="128.28"/>
    <n v="182.19"/>
    <n v="80.349999999999994"/>
    <n v="0.47064021995286731"/>
    <n v="-5.8719560094265134E-2"/>
  </r>
  <r>
    <s v="CONSUMER"/>
    <x v="23"/>
    <s v="ETSY, INC. (XNYS:ETSY)"/>
    <n v="59.9"/>
    <n v="76.515000000000001"/>
    <n v="41.505000000000003"/>
    <n v="0.52542130819765775"/>
    <n v="5.0842616395315253E-2"/>
  </r>
  <r>
    <s v="CONSUMER"/>
    <x v="23"/>
    <s v="SEA LIMITED (XNYS:SE)"/>
    <n v="90.91"/>
    <n v="199.3"/>
    <n v="77.05"/>
    <n v="0.11337423312883434"/>
    <n v="-0.773251533742331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01BFE3-EAA4-43CF-9474-D19FF0C09A9A}" name="PivotTable1" cacheId="1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28" firstHeaderRow="0" firstDataRow="1" firstDataCol="1"/>
  <pivotFields count="8">
    <pivotField showAll="0"/>
    <pivotField axis="axisRow" showAll="0" sortType="descending">
      <items count="25">
        <item x="16"/>
        <item x="1"/>
        <item x="2"/>
        <item x="3"/>
        <item x="19"/>
        <item x="14"/>
        <item x="18"/>
        <item x="11"/>
        <item x="22"/>
        <item x="21"/>
        <item x="4"/>
        <item x="17"/>
        <item x="23"/>
        <item x="20"/>
        <item x="6"/>
        <item x="12"/>
        <item x="7"/>
        <item x="13"/>
        <item x="9"/>
        <item x="10"/>
        <item x="0"/>
        <item x="8"/>
        <item x="15"/>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numFmtId="2" showAll="0"/>
    <pivotField dataField="1" numFmtId="2" showAll="0"/>
  </pivotFields>
  <rowFields count="1">
    <field x="1"/>
  </rowFields>
  <rowItems count="25">
    <i>
      <x v="20"/>
    </i>
    <i>
      <x v="14"/>
    </i>
    <i>
      <x v="3"/>
    </i>
    <i>
      <x v="1"/>
    </i>
    <i>
      <x v="5"/>
    </i>
    <i>
      <x v="23"/>
    </i>
    <i>
      <x v="18"/>
    </i>
    <i>
      <x v="6"/>
    </i>
    <i>
      <x v="22"/>
    </i>
    <i>
      <x v="11"/>
    </i>
    <i>
      <x v="7"/>
    </i>
    <i>
      <x/>
    </i>
    <i>
      <x v="19"/>
    </i>
    <i>
      <x v="21"/>
    </i>
    <i>
      <x v="2"/>
    </i>
    <i>
      <x v="16"/>
    </i>
    <i>
      <x v="9"/>
    </i>
    <i>
      <x v="17"/>
    </i>
    <i>
      <x v="8"/>
    </i>
    <i>
      <x v="12"/>
    </i>
    <i>
      <x v="4"/>
    </i>
    <i>
      <x v="13"/>
    </i>
    <i>
      <x v="10"/>
    </i>
    <i>
      <x v="15"/>
    </i>
    <i t="grand">
      <x/>
    </i>
  </rowItems>
  <colFields count="1">
    <field x="-2"/>
  </colFields>
  <colItems count="2">
    <i>
      <x/>
    </i>
    <i i="1">
      <x v="1"/>
    </i>
  </colItems>
  <dataFields count="2">
    <dataField name="Mittelwert von Trend Score" fld="6" subtotal="average" baseField="0" baseItem="0" numFmtId="2"/>
    <dataField name="Mittelwert von Momentum" fld="7"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
  <a r="170">
    <v t="r">477</v>
    <v t="r">479</v>
    <v t="r">481</v>
    <v t="r">483</v>
    <v t="r">485</v>
    <v t="r">487</v>
    <v t="r">489</v>
    <v t="r">491</v>
    <v t="r">493</v>
    <v t="r">495</v>
    <v t="r">497</v>
    <v t="r">499</v>
    <v t="r">501</v>
    <v t="r">503</v>
    <v t="r">505</v>
    <v t="r">507</v>
    <v t="r">509</v>
    <v t="r">511</v>
    <v t="r">513</v>
    <v t="r">515</v>
    <v t="r">517</v>
    <v t="r">519</v>
    <v t="r">521</v>
    <v t="r">523</v>
    <v t="r">86</v>
    <v t="r">525</v>
    <v t="r">527</v>
    <v t="r">529</v>
    <v t="r">531</v>
    <v t="r">533</v>
    <v t="r">535</v>
    <v t="r">537</v>
    <v t="r">539</v>
    <v t="r">541</v>
    <v t="r">543</v>
    <v t="r">545</v>
    <v t="r">547</v>
    <v t="r">549</v>
    <v t="r">551</v>
    <v t="r">553</v>
    <v t="r">555</v>
    <v t="r">557</v>
    <v t="r">559</v>
    <v t="r">561</v>
    <v t="r">563</v>
    <v t="r">565</v>
    <v t="r">567</v>
    <v t="r">569</v>
    <v t="r">571</v>
    <v t="r">573</v>
    <v t="r">575</v>
    <v t="r">577</v>
    <v t="r">579</v>
    <v t="r">581</v>
    <v t="r">583</v>
    <v t="r">585</v>
    <v t="r">587</v>
    <v t="r">589</v>
    <v t="r">591</v>
    <v t="r">593</v>
    <v t="r">545</v>
    <v t="r">595</v>
    <v t="r">597</v>
    <v t="r">599</v>
    <v t="r">601</v>
    <v t="r">603</v>
    <v t="r">605</v>
    <v t="r">607</v>
    <v t="r">609</v>
    <v t="r">611</v>
    <v t="r">221</v>
    <v t="r">613</v>
    <v t="r">615</v>
    <v t="r">617</v>
    <v t="r">619</v>
    <v t="r">236</v>
    <v t="r">621</v>
    <v t="r">623</v>
    <v t="r">625</v>
    <v t="r">627</v>
    <v t="r">629</v>
    <v t="r">631</v>
    <v t="r">633</v>
    <v t="r">635</v>
    <v t="r">637</v>
    <v t="r">639</v>
    <v t="r">641</v>
    <v t="r">643</v>
    <v t="r">645</v>
    <v t="r">647</v>
    <v t="r">649</v>
    <v t="r">651</v>
    <v t="r">613</v>
    <v t="r">615</v>
    <v t="r">653</v>
    <v t="r">655</v>
    <v t="r">657</v>
    <v t="r">617</v>
    <v t="r">659</v>
    <v t="r">661</v>
    <v t="r">565</v>
    <v t="r">561</v>
    <v t="r">663</v>
    <v t="r">665</v>
    <v t="r">559</v>
    <v t="r">667</v>
    <v t="r">561</v>
    <v t="r">667</v>
    <v t="r">669</v>
    <v t="r">671</v>
    <v t="r">661</v>
    <v t="r">673</v>
    <v t="r">675</v>
    <v t="r">677</v>
    <v t="r">679</v>
    <v t="r">681</v>
    <v t="r">683</v>
    <v t="r">685</v>
    <v t="r">687</v>
    <v t="r">344</v>
    <v t="r">689</v>
    <v t="r">681</v>
    <v t="r">685</v>
    <v t="r">683</v>
    <v t="r">687</v>
    <v t="r">691</v>
    <v t="r">677</v>
    <v t="r">693</v>
    <v t="r">695</v>
    <v t="r">697</v>
    <v t="r">699</v>
    <v t="r">701</v>
    <v t="r">703</v>
    <v t="r">705</v>
    <v t="r">707</v>
    <v t="r">709</v>
    <v t="r">711</v>
    <v t="r">713</v>
    <v t="r">715</v>
    <v t="r">717</v>
    <v t="r">719</v>
    <v t="r">397</v>
    <v t="r">721</v>
    <v t="r">723</v>
    <v t="r">725</v>
    <v t="r">727</v>
    <v t="r">729</v>
    <v t="r">731</v>
    <v t="r">733</v>
    <v t="r">735</v>
    <v t="r">737</v>
    <v t="r">739</v>
    <v t="r">741</v>
    <v t="r">743</v>
    <v t="r">745</v>
    <v t="r">507</v>
    <v t="r">747</v>
    <v t="r">749</v>
    <v t="r">751</v>
    <v t="r">753</v>
    <v t="r">755</v>
    <v t="r">757</v>
    <v t="r">507</v>
    <v t="r">759</v>
    <v t="r">761</v>
    <v t="r">763</v>
    <v t="r">765</v>
    <v t="r">767</v>
    <v t="r">769</v>
    <v t="i">2</v>
  </a>
</arrayData>
</file>

<file path=xl/richData/rdrichvalue.xml><?xml version="1.0" encoding="utf-8"?>
<rvData xmlns="http://schemas.microsoft.com/office/spreadsheetml/2017/richdata" count="772">
  <rv s="0">
    <v>https://www.bing.com/financeapi/forcetrigger?t=a1vgar&amp;q=XNAS%3aIIVI&amp;form=skydnc</v>
    <v>Learn more on Bing</v>
  </rv>
  <rv s="1">
    <v>de-DE</v>
    <v>a1vgar</v>
    <v>268435456</v>
    <v>1</v>
    <v>Unterstützt von Refinitiv</v>
    <v>0</v>
    <v>1</v>
    <v>Coherent Corp. (XNYS:COHR)</v>
    <v>3</v>
    <v>4</v>
    <v>Finance</v>
    <v>5</v>
    <v>332</v>
    <v>50.81</v>
    <v>14.39</v>
    <v>4.6689999999999995E-2</v>
    <v>195270000</v>
    <v>Coherent Corp., spezialisiert auf Materialien, Netzwerke und Laser, ist ein vertikal integriertes Fertigungsunternehmen, das technische Materialien, optoelektronische Komponenten und Geräte sowie Laser für den Einsatz in Industrie, Kommunikation, Elektronik und Instrumentierung entwickelt, herstellt und vermarktet. Zu den Segmenten gehören Netzwerke, Materialien und Laser. Das Segment Networking nutzt seine Plattformen für die Verbindungshalbleitertechnologie und das Wissen über Endbenutzeranwendungen für seine wichtigsten Endmärkte, um differenzierte Komponenten und Subsysteme zu liefern. Das Segment Materialien umfasst technische Materialien und optoelektronische Geräte, wie z. B. solche auf der Basis von Zinkselenid (ZnSe), Zinksulfid (ZnS), Galliumarsenid (GaAs), Indiumphosphid (InP), Galliumantimonid (GaSb), und Siliziumcarbid (SiC). Die Laser- und Optikprodukte des Segments Laser bedienen industrielle Kunden in den Bereichen Halbleiter- und Displayanlagen, Präzisionsfertigung sowie Luft- und Raumfahrt und Verteidigung und andere.</v>
    <v>2.0308999999999999</v>
    <v>62992149299</v>
    <v>New York Stock Exchange</v>
    <v>XNYS</v>
    <v>XNYS</v>
    <v>375 Saxonburg Blvd, SAXONBURG, PA, 16056 US</v>
    <v>332</v>
    <v>Electronic Equipment &amp; Parts</v>
    <v>Aktie</v>
    <v>527.71140000000003</v>
    <v>0</v>
    <v>46128.739849027341</v>
    <v>30216</v>
    <v>Coherent Corp.</v>
    <v>312.92</v>
    <v>Coherent Corp.</v>
    <v>316.51</v>
    <v>322.58999999999997</v>
    <v>308.2</v>
    <v>COHR</v>
    <v>Coherent Corp. (XNYS:COHR)</v>
    <v>1971</v>
    <v>4658931</v>
    <v>8262919</v>
    <v>USD</v>
  </rv>
  <rv s="2">
    <v>1</v>
  </rv>
  <rv s="0">
    <v>https://www.bing.com/financeapi/forcetrigger?t=a1wxjc&amp;q=XNAS%3aLITE&amp;form=skydnc</v>
    <v>Learn more on Bing</v>
  </rv>
  <rv s="1">
    <v>de-DE</v>
    <v>a1wxjc</v>
    <v>268435456</v>
    <v>1</v>
    <v>Unterstützt von Refinitiv</v>
    <v>0</v>
    <v>1</v>
    <v>LUMENTUM HOLDINGS INC. (XNAS:LITE)</v>
    <v>3</v>
    <v>4</v>
    <v>Finance</v>
    <v>5</v>
    <v>960</v>
    <v>49.13</v>
    <v>63.85</v>
    <v>7.7487E-2</v>
    <v>71400000</v>
    <v>Lumentum Holdings Inc. Ist ein Designer und Hersteller optischer und photonischer Produkte, die optische Netzwerke und Laseranwendungen weltweit ermöglichen. Zu den Segmenten zählen Cloud &amp; Networking und Industrial Tech. Die Produkte des Segments Cloud &amp; Networking umfassen ein umfassendes Portfolio optischer und photonischer Komponenten, Module und Subsysteme, die an Betreiber von Cloud- und Kommunikationsnetzwerken und Hersteller von Netzwerkgeräten geliefert werden, die eine Cloud-Rechenzentrumsinfrastruktur aufbauen, einschließlich Produkte für künstliche Intelligenz und maschinelles Lernen (KI/ML) und Data Center Interconnect (DCI) sowie Kommunikationsdienstleister-Netzwerke, einschließlich Produkte für den Zugang (lokal), Metro (Intracity), Langstreckennetzwerke (Stadt-zu Stadt-Netzwerken und Untersee). Das Segment Industrial Tech umfasst Festkörperlaser, Faserlaser der Kilowatt-Klasse, Diodenlaser, ultraschnelle Laser und Gaslaser, für Anwendungen in zahlreichen Endmärkten.</v>
    <v>1.4736</v>
    <v>63393204000</v>
    <v>Nasdaq Stock Market</v>
    <v>XNAS</v>
    <v>XNAS</v>
    <v>1001 Ridder Park Dr, SAN JOSE, CA, 95131-2314 US</v>
    <v>903</v>
    <v>Communications &amp; Networking</v>
    <v>Aktie</v>
    <v>271.48360000000002</v>
    <v>3</v>
    <v>46128.739852800783</v>
    <v>10562</v>
    <v>LUMENTUM HOLDINGS INC.</v>
    <v>820.16</v>
    <v>LUMENTUM HOLDINGS INC.</v>
    <v>826.23</v>
    <v>887.86</v>
    <v>824.01</v>
    <v>LITE</v>
    <v>LUMENTUM HOLDINGS INC. (XNAS:LITE)</v>
    <v>2015</v>
    <v>4665895</v>
    <v>7068785</v>
    <v>USD</v>
  </rv>
  <rv s="2">
    <v>4</v>
  </rv>
  <rv s="0">
    <v>https://www.bing.com/financeapi/forcetrigger?t=a1molh&amp;q=XNAS%3aAAOI&amp;form=skydnc</v>
    <v>Learn more on Bing</v>
  </rv>
  <rv s="1">
    <v>de-DE</v>
    <v>a1molh</v>
    <v>268435456</v>
    <v>1</v>
    <v>Unterstützt von Refinitiv</v>
    <v>0</v>
    <v>1</v>
    <v>APPLIED OPTOELECTRONICS, INC. (XNAS:AAOI)</v>
    <v>3</v>
    <v>4</v>
    <v>Finance</v>
    <v>5</v>
    <v>155.4</v>
    <v>9.7110000000000003</v>
    <v>9.6999999999999993</v>
    <v>6.8045999999999995E-2</v>
    <v>75198820</v>
    <v>Applied Optoelectronics, Inc. Ist ein vertikal integrierter Anbieter von Glasfaser-Netzwerkprodukten. Das Unternehmen entwickelt und produziert eine Reihe optischer Kommunikationsprodukte mit unterschiedlichen Integrationsstufen, von Komponenten, Baugruppen und Modulen bis hin zu schlüsselfertigen Komplettgeräten. Das Unternehmen entwirft, produziert und integriert seine eigenen analogen und digitalen Laser mit Hilfe der proprietären alternativen Verfahren zur Molekularstrahl-Epitaxie (MBE) und der Metall-organischen chemischen Vapor-Deposition (MOCVD) für die Herstellung von Lasern. Das Unternehmen stellt Laser und Laserkomponenten her und führt Forschungs- und Entwicklungsaktivitäten für Laserkomponenten und optische Module durch. Das Unternehmen bietet seine Glasfaser-Netzwerkprodukte in erster Linie für vier Netzwerkendmärkte an, wie Kabelfernsehen, (CATV), Internet-Rechenzentrum, Telekommunikation, (Telekommunikation), und Fiber-to-the-Home (FTTH). Das Unternehmen verfügt über Produktionsstätten in Taipeh (Taiwan) und Ningbo (China).</v>
    <v>3.5560999999999998</v>
    <v>11449020345</v>
    <v>Nasdaq Stock Market</v>
    <v>XNAS</v>
    <v>XNAS</v>
    <v>13139 Jess Pirtle Blvd, SUGAR LAND, TX, 77478 US</v>
    <v>153.77000000000001</v>
    <v>Electronic Equipment &amp; Parts</v>
    <v>Aktie</v>
    <v>0</v>
    <v>6</v>
    <v>46128.739893703125</v>
    <v>4691</v>
    <v>APPLIED OPTOELECTRONICS, INC.</v>
    <v>136.36000000000001</v>
    <v>APPLIED OPTOELECTRONICS, INC.</v>
    <v>140</v>
    <v>152.25</v>
    <v>142.55000000000001</v>
    <v>AAOI</v>
    <v>APPLIED OPTOELECTRONICS, INC. (XNAS:AAOI)</v>
    <v>2013</v>
    <v>7166999</v>
    <v>13487579</v>
    <v>USD</v>
  </rv>
  <rv s="2">
    <v>7</v>
  </rv>
  <rv s="0">
    <v>https://www.bing.com/financeapi/forcetrigger?t=a2si9c&amp;q=XNAS%3aPOET&amp;form=skydnc</v>
    <v>Learn more on Bing</v>
  </rv>
  <rv s="1">
    <v>de-DE</v>
    <v>a2si9c</v>
    <v>268435456</v>
    <v>1</v>
    <v>Unterstützt von Refinitiv</v>
    <v>0</v>
    <v>1</v>
    <v>POET Technologies Inc. (XNAS:POET)</v>
    <v>3</v>
    <v>4</v>
    <v>Finance</v>
    <v>5</v>
    <v>9.41</v>
    <v>3.58</v>
    <v>0.17499999999999999</v>
    <v>2.5108000000000002E-2</v>
    <v>152711200</v>
    <v>POET Technologies Inc. Ist ein Design- und Entwicklungsunternehmen. Es bietet optische Hochgeschwindigkeitsmodule, Lichtquellenprodukte und kundenspezifische optische Module für den Markt für künstliche Intelligenz (KI)-Systeme und für Hyperscale-Rechenzentren. Die photonischen Integrationslösungen basieren auf dem POET Optical Interposer, einer neuartigen, patentierten Plattform, die die Integration elektronischer und photonischer Geräte in einen einzigen Chip mit Halbleiterherstellungstechniken auf Waferebene ermöglicht. Die auf optischen Interposer basierenden Produkte verbrauchen weniger Strom als vergleichbare Produkte, sind kleiner und lassen sich problemlos auf hohe Produktionsmengen skalieren. Darüber hinaus hat das Unternehmen neuartige Lichtquellenprodukte für die Chip-zu-Chip-Datenkommunikation innerhalb und zwischen KI-Servern entwickelt und produziert, die nächste Grenze zur Lösung von Bandbreiten- und Latenzproblemen in KI-Systemen. Die Optical Interposer-Plattform löst Herausforderungen bei der Geräteintegration in einer Vielzahl von Kommunikations-, Computing- und Sensoranwendungen.</v>
    <v>0.50790000000000002</v>
    <v>1091121524</v>
    <v>Nasdaq Stock Market</v>
    <v>XNAS</v>
    <v>XNAS</v>
    <v>120 Eglinton Avenue East, Suite 1107, TORONTO, ON, M4P 1E2 CA</v>
    <v>7.41</v>
    <v>Semiconductors &amp; Semiconductor Equipment</v>
    <v>Aktie</v>
    <v>0</v>
    <v>9</v>
    <v>46128.739815080466</v>
    <v>180</v>
    <v>POET Technologies Inc.</v>
    <v>7</v>
    <v>POET Technologies Inc.</v>
    <v>7.04</v>
    <v>7.1449999999999996</v>
    <v>6.97</v>
    <v>POET</v>
    <v>POET Technologies Inc. (XNAS:POET)</v>
    <v>2010</v>
    <v>7407430</v>
    <v>11230899</v>
    <v>USD</v>
  </rv>
  <rv s="2">
    <v>10</v>
  </rv>
  <rv s="0">
    <v>https://www.bing.com/financeapi/forcetrigger?t=a1o36h&amp;q=XNAS%3aAXTI&amp;form=skydnc</v>
    <v>Learn more on Bing</v>
  </rv>
  <rv s="1">
    <v>de-DE</v>
    <v>a1o36h</v>
    <v>268435456</v>
    <v>1</v>
    <v>Unterstützt von Refinitiv</v>
    <v>0</v>
    <v>1</v>
    <v>AXT, INC. (XNAS:AXTI)</v>
    <v>3</v>
    <v>4</v>
    <v>Finance</v>
    <v>5</v>
    <v>77.69</v>
    <v>1.1399999999999999</v>
    <v>13.85</v>
    <v>0.220086</v>
    <v>55578600</v>
    <v>AXT, Inc. Ist ein Materialwissenschaftliches Unternehmen, das Hochleistungsverbindungen und Halbleiterwafer-Substrate mit einem Element entwickelt und produziert, die Indiumphosphid (InP), Galliumarsenid (GaAs) und Germanium (GE) umfassen. Seine Wafer-Substrate werden verwendet, wenn ein typisches Silizium-Wafer-Substrat die Leistungsanforderungen eines Halbleiters oder optoelektronischen Bauelements nicht erfüllen kann. Es verfügt über zwei Produktlinien: Substrate für Spezialmaterialien und Rohstoffe, die in diese Substrate integriert sind. Sein InP ist ein Halbleiter-Wafer-Substrat, das in Breitband- und Glasfaseranwendungen, 5G-Infrastruktur und Rechenzentrumskonnektivität verwendet wird. Seine halbleitenden GaAs-Substrate werden zur Herstellung optoelektronischer Produkte verwendet, darunter Leuchtdioden mit hoher Helligkeit, die häufig zur Hinterleuchtung von drahtlosen Handgeräten und LCD-Fernsehern sowie für Automobil-, Beschilderungs- und Beleuchtungsanwendungen verwendet werden. Seine GE-Substrate werden in Anwendungen wie Solarzellen für Raumfahrt- und terrestrische Photovoltaikanwendungen verwendet.</v>
    <v>1.585</v>
    <v>4267324908</v>
    <v>Nasdaq Stock Market</v>
    <v>XNAS</v>
    <v>XNAS</v>
    <v>4281 Technology Dr, FREMONT, CA, 94538 US</v>
    <v>77.69</v>
    <v>Semiconductors &amp; Semiconductor Equipment</v>
    <v>Aktie</v>
    <v>0</v>
    <v>12</v>
    <v>46128.73985578672</v>
    <v>1383</v>
    <v>AXT, INC.</v>
    <v>59.3</v>
    <v>AXT, INC.</v>
    <v>62.85</v>
    <v>76.78</v>
    <v>62.93</v>
    <v>AXTI</v>
    <v>AXT, INC. (XNAS:AXTI)</v>
    <v>1997</v>
    <v>12372636</v>
    <v>13000925</v>
    <v>USD</v>
  </rv>
  <rv s="2">
    <v>13</v>
  </rv>
  <rv s="0">
    <v>https://www.bing.com/financeapi/forcetrigger?t=a24k27&amp;q=XNAS%3aTSEM&amp;form=skydnc</v>
    <v>Learn more on Bing</v>
  </rv>
  <rv s="1">
    <v>de-DE</v>
    <v>a24k27</v>
    <v>268435456</v>
    <v>1</v>
    <v>Unterstützt von Refinitiv</v>
    <v>0</v>
    <v>1</v>
    <v>TOWER SEMICONDUCTOR LTD (XNAS:TSEM)</v>
    <v>3</v>
    <v>4</v>
    <v>Finance</v>
    <v>5</v>
    <v>219.46</v>
    <v>33.42</v>
    <v>-2.74</v>
    <v>-1.2707E-2</v>
    <v>112534000</v>
    <v>Die TOWER SEMICONDUCTOR LTD. arbeitet als unabhängige Halbleiter-Gießerei, die sich in erster Linie auf Spezialprozesstechnologien konzentriert. Das Unternehmen konzentriert sich auf die Herstellung von integrierten Schaltungen, die auf den Design-Spezifikationen seiner Kunden basieren. Das Unternehmen fertigt Halbleiter für seine Kunden, die in erster Linie auf fremden Designs basieren. Es bietet Prozessfertigungsgeometrien von 0,35, 0,50, 0,55, 0,60, 0,80 Mikron und darüber auf 150 Millimeter-Wafern mit 0,35, 0,18 Mikron, auf 200 Millimeter-Wafern mit 0,16, 0,13 und 0,11 Mikron und auf 300-Millimeter-Wafern mit 65 und 45 Nanometer an. Es erbringt auch Design-Unterstützungs- und technische Dienstleistungen. Die integrierten Schaltungen des Unternehmens werden in einer Reihe von Produkten eingebaut, z. B. Unterhaltungselektronik, PC und Kommunikations-, Kfz-, Industrie- und Medizintechnikprodukte. Das Unternehmen verfügt über Produktionsstätten in den Vereinigten Staaten, Israel und Japan.</v>
    <v>0.81330000000000002</v>
    <v>23957363260</v>
    <v>Nasdaq Stock Market</v>
    <v>XNAS</v>
    <v>XNAS</v>
    <v>20 Shaul Amor Avenue, Ramat Gavriel Industrial Park, MIGDAL HAEMEQ, 23105 IL</v>
    <v>216.9</v>
    <v>Semiconductors &amp; Semiconductor Equipment</v>
    <v>Aktie</v>
    <v>109.7937</v>
    <v>15</v>
    <v>46128.739818760936</v>
    <v>5359</v>
    <v>TOWER SEMICONDUCTOR LTD</v>
    <v>205.73</v>
    <v>TOWER SEMICONDUCTOR LTD</v>
    <v>215.26</v>
    <v>212.89</v>
    <v>215.63</v>
    <v>TSEM</v>
    <v>TOWER SEMICONDUCTOR LTD (XNAS:TSEM)</v>
    <v>1993</v>
    <v>1489878</v>
    <v>3643401</v>
    <v>USD</v>
  </rv>
  <rv s="2">
    <v>16</v>
  </rv>
  <rv s="0">
    <v>https://www.bing.com/financeapi/forcetrigger?t=aftr5r&amp;q=XETR%3aSMHN&amp;form=skydnc</v>
    <v>Learn more on Bing</v>
  </rv>
  <rv s="1">
    <v>de-DE</v>
    <v>aftr5r</v>
    <v>268435456</v>
    <v>1</v>
    <v>Unterstützt von Refinitiv</v>
    <v>0</v>
    <v>1</v>
    <v>SUSS MicroTec SE (XETR:SMHN)</v>
    <v>3</v>
    <v>6</v>
    <v>Finance</v>
    <v>7</v>
    <v>65.3</v>
    <v>24</v>
    <v>1.35</v>
    <v>2.1564999999999997E-2</v>
    <v>19115540</v>
    <v>SUSS MicroTec SE, vormals SUESS MicroTec SE, ist eine in Deutschland ansässige Holdinggesellschaft (die Gruppe), die Produkte entwickelt, herstellt und vertreibt, die mikroelektromechanische Systeme und Mikroelektronik in der Halbleiterindustrie nutzen. Die Gruppe ist in den Geschäftsbereichen Advanced Backend Solutions, Photomask Solutions und Central Group Functions tätig. Der Geschäftsbereich Advanced Backend Solutions umfasst die Entwicklung, die Produktion und den Vertrieb von Lösungen in den Produktlinien Imaging, Coating und Bonding. Im Einzelnen werden Mask Aligner und Ultraviolett-Projektionsscanner (Imaging-Systeme), Coater und Entwickler (Coating-Systeme) sowie temporäre und permanente Bonder (Bonding-Systeme) angeboten. Der Geschäftsbereich Photomask Solutions umfasst die Entwicklung, Herstellung und den Vertrieb von Systemen zur Herstellung oder Reinigung von Photomasken für die Halbleiterindustrie. Der Bereich Zentrale Konzernfunktionen umfasst alle übrigen Aktivitäten und die Kosten der zentralen Konzernfunktionen.</v>
    <v>2.0253000000000001</v>
    <v>873580100</v>
    <v>Xetra</v>
    <v>XETR</v>
    <v>XETR</v>
    <v>Schleissheimer Str. 90, GARCHING, BAYERN, 85748 DE</v>
    <v>65.3</v>
    <v>Semiconductors &amp; Semiconductor Equipment</v>
    <v>Aktie</v>
    <v>21.676500000000001</v>
    <v>18</v>
    <v>46128.729409722226</v>
    <v>1497</v>
    <v>SUSS MicroTec SE</v>
    <v>62.7</v>
    <v>SUSS MicroTec SE</v>
    <v>63.65</v>
    <v>63.95</v>
    <v>62.6</v>
    <v>SMHN</v>
    <v>SUSS MicroTec SE (XETR:SMHN)</v>
    <v>2017</v>
    <v>90988</v>
    <v>173260</v>
    <v>EUR</v>
  </rv>
  <rv s="2">
    <v>19</v>
  </rv>
  <rv s="0">
    <v>https://www.bing.com/financeapi/forcetrigger?t=a1xygh&amp;q=XNAS%3aMRVL&amp;form=skydnc</v>
    <v>Learn more on Bing</v>
  </rv>
  <rv s="1">
    <v>de-DE</v>
    <v>a1xygh</v>
    <v>268435456</v>
    <v>1</v>
    <v>Unterstützt von Refinitiv</v>
    <v>0</v>
    <v>1</v>
    <v>MARVELL TECHNOLOGY, INC. (XNAS:MRVL)</v>
    <v>3</v>
    <v>4</v>
    <v>Finance</v>
    <v>5</v>
    <v>138.19</v>
    <v>48.09</v>
    <v>-0.125</v>
    <v>-9.2869999999999997E-4</v>
    <v>874458300</v>
    <v>Marvell Technology, Inc. Ist zusammen mit seinen Tochtergesellschaften ein Anbieter von Halbleiterlösungen für Dateninfrastrukturen, die vom Kern des Rechenzentrums bis zur Netzwerkperipherie reichen. Das Unternehmen beschäftigt sich mit der Entwicklung, Entwicklung und dem Verkauf von integrierten Schaltungen. Die Produktlösungen decken verschiedene Endmärkte ab: Rechenzentren, Unternehmensnetzwerke, Carrier-Infrastruktur, Verbraucher und Industrie. Das Produktangebot umfasst CXL, Datenverarbeitungseinheiten, Sicherheitslösungen, kohärente DSPs, kohärente DSPs, kohärente DSPs, Rechenzentrums-Switches, optische DCI-Module, Enterprise-Switches, Ethernet-Controller, Ethernet-PHYs, PCIe-Retimer, Lineartreiber, PAM DSPs, Transimpedanzverstärker, Fiber Channel, HDD, Speicherbeschleuniger und SSD-Controller. Das Unternehmen entwickelt Halbleiterlösungen, die auf individuelle Kundenspezifikationen zugeschnitten sind und auf Systemebene Differenzierung für künstliche Intelligenz, Rechenzentren, Computing, Netzwerke, Carrier, Storage-, Luft- und Raumfahrt- und Verteidigungsanwendungen.</v>
    <v>2.0097</v>
    <v>117592779892</v>
    <v>Nasdaq Stock Market</v>
    <v>XNAS</v>
    <v>XNAS</v>
    <v>1000 N. West Street, Suite 1200, WILMINGTON, DE, 19801 US</v>
    <v>134.69</v>
    <v>Semiconductors &amp; Semiconductor Equipment</v>
    <v>Aktie</v>
    <v>47.025799999999997</v>
    <v>21</v>
    <v>46128.739876642969</v>
    <v>7480</v>
    <v>MARVELL TECHNOLOGY, INC.</v>
    <v>128.41999999999999</v>
    <v>MARVELL TECHNOLOGY, INC.</v>
    <v>132.1</v>
    <v>134.47499999999999</v>
    <v>134.6</v>
    <v>MRVL</v>
    <v>MARVELL TECHNOLOGY, INC. (XNAS:MRVL)</v>
    <v>2020</v>
    <v>14261525</v>
    <v>23952002</v>
    <v>USD</v>
  </rv>
  <rv s="2">
    <v>22</v>
  </rv>
  <rv s="0">
    <v>https://www.bing.com/financeapi/forcetrigger?t=a1yv52&amp;q=XNAS%3aNVDA&amp;form=skydnc</v>
    <v>Learn more on Bing</v>
  </rv>
  <rv s="1">
    <v>de-DE</v>
    <v>a1yv52</v>
    <v>268435456</v>
    <v>1</v>
    <v>Unterstützt von Refinitiv</v>
    <v>0</v>
    <v>1</v>
    <v>NVIDIA CORPORATION (XNAS:NVDA)</v>
    <v>3</v>
    <v>4</v>
    <v>Finance</v>
    <v>5</v>
    <v>212.18989999999999</v>
    <v>95.04</v>
    <v>-0.22</v>
    <v>-1.106E-3</v>
    <v>24300000000</v>
    <v>Die NVIDIA Corporation ist ein Unternehmen für die komplette Computerinfrastruktur. Das Unternehmen beschäftigt sich mit beschleunigtem Computing, um die anspruchsvollen Computerprobleme zu lösen. Zu den Segmenten des Unternehmens gehören Compute &amp; Networking und Graphics. Das Segment Compute &amp; Networking umfasst seine Rechenzentrums-beschleunigten Computerplattformen sowie Lösungen und Software für künstliche Intelligenz (KI), Netzwerke, Automobilplattformen und Lösungen für autonome und Elektrofahrzeuge, Jetson für Robotik und andere Embedded-Plattformen sowie DGX Cloud Computing-Services. Das Grafiksegment umfasst GeForce GPUs für Spiele und PCs, den GeForce NOW Game Streaming Service und die zugehörige Infrastruktur sowie Lösungen für Gaming-Plattformen, Quadro/NVIDIA RTX GPUs für Enterprise-Workstations-Grafiken, virtuelle GPU-Software für Cloud-basiertes visuelles und virtuelles Computing, Automobilplattformen für Infotainment-Systeme und Omniverse Enterprise-Software für die Erstellung und den Betrieb dreidimensionaler Internetanwendungen.</v>
    <v>2.3068</v>
    <v>4827195000000</v>
    <v>Nasdaq Stock Market</v>
    <v>XNAS</v>
    <v>XNAS</v>
    <v>2788 San Tomas Expressway, SANTA CLARA, CA, 95051 US</v>
    <v>199.85</v>
    <v>Semiconductors &amp; Semiconductor Equipment</v>
    <v>Aktie</v>
    <v>40.5259</v>
    <v>24</v>
    <v>46128.739925392969</v>
    <v>42000</v>
    <v>NVIDIA CORPORATION</v>
    <v>195.81</v>
    <v>NVIDIA CORPORATION</v>
    <v>197.54</v>
    <v>198.65</v>
    <v>198.87</v>
    <v>NVDA</v>
    <v>NVIDIA CORPORATION (XNAS:NVDA)</v>
    <v>1998</v>
    <v>83132464</v>
    <v>166975194</v>
    <v>USD</v>
  </rv>
  <rv s="2">
    <v>25</v>
  </rv>
  <rv s="0">
    <v>https://www.bing.com/financeapi/forcetrigger?t=a1ndww&amp;q=XNAS%3aAMD&amp;form=skydnc</v>
    <v>Learn more on Bing</v>
  </rv>
  <rv s="1">
    <v>de-DE</v>
    <v>a1ndww</v>
    <v>268435456</v>
    <v>1</v>
    <v>Unterstützt von Refinitiv</v>
    <v>0</v>
    <v>1</v>
    <v>ADVANCED MICRO DEVICES, INC. (XNAS:AMD)</v>
    <v>3</v>
    <v>4</v>
    <v>Finance</v>
    <v>5</v>
    <v>279.33999999999997</v>
    <v>83.75</v>
    <v>17.79</v>
    <v>6.8920999999999996E-2</v>
    <v>1630339000</v>
    <v>Advanced Micro Devices, Inc. Ist ein globales Halbleiterunternehmen. Das Unternehmen konzentriert sich auf Hochleistungs-Computing-, Grafik- und Visualisierungstechnologien. Zu den Segmenten zählen Data Center, Client und Gaming sowie Embedded. Das Segment Data Center umfasst künstliche Intelligenz (KI)-Beschleuniger, Mikroprozessoren (CPUs) für Server, Grafikprozessoren (GPUs), Accelerated Processing Units (APUs), Data Processing Units (DPUs), Field Programmable Gate Arrays (FPGAs), Smart Network Interface Cards (SmartNICs) und Adaptive System-on-Chip (SoC)-Produkte für Rechenzentren. Das Segment Client und Gaming umfasst CPUs, APUs, Chipsätze für Desktops und Notebooks, diskrete GPUs sowie halbindividuelle SoC-Produkte und Entwicklungsservices. Das Embedded-Segment umfasst integrierte CPUs, GPUs, APUs, FPGAs, System-on-Module (SOMs) und Adaptive SoC-Produkte. Das Unternehmen vermarktet und verkauft seine Produkte unter der Marke AMD. Zu den Produkten gehören AMD EPYC, AMD Ryzen, AMD Ryzen pro, Virtex UltraScale+ und andere.</v>
    <v>2.0524</v>
    <v>449826833490</v>
    <v>Nasdaq Stock Market</v>
    <v>XNAS</v>
    <v>XNAS</v>
    <v>2485 Augustine Drive, SANTA CLARA, CA, 95054 US</v>
    <v>279.33999999999997</v>
    <v>Semiconductors &amp; Semiconductor Equipment</v>
    <v>Aktie</v>
    <v>105.93989999999999</v>
    <v>27</v>
    <v>46128.739911909375</v>
    <v>31000</v>
    <v>ADVANCED MICRO DEVICES, INC.</v>
    <v>261.51</v>
    <v>ADVANCED MICRO DEVICES, INC.</v>
    <v>265</v>
    <v>275.91000000000003</v>
    <v>258.12</v>
    <v>AMD</v>
    <v>ADVANCED MICRO DEVICES, INC. (XNAS:AMD)</v>
    <v>1969</v>
    <v>44364329</v>
    <v>32358991</v>
    <v>USD</v>
  </rv>
  <rv s="2">
    <v>28</v>
  </rv>
  <rv s="0">
    <v>https://www.bing.com/financeapi/forcetrigger?t=a1nz8m&amp;q=XNAS%3aAVGO&amp;form=skydnc</v>
    <v>Learn more on Bing</v>
  </rv>
  <rv s="1">
    <v>de-DE</v>
    <v>a1nz8m</v>
    <v>268435456</v>
    <v>1</v>
    <v>Unterstützt von Refinitiv</v>
    <v>0</v>
    <v>1</v>
    <v>BROADCOM INC. (XNAS:AVGO)</v>
    <v>3</v>
    <v>4</v>
    <v>Finance</v>
    <v>5</v>
    <v>414.61</v>
    <v>161.61000000000001</v>
    <v>1.7250000000000001</v>
    <v>4.3480000000000003E-3</v>
    <v>4734668000</v>
    <v>Broadcom Inc. Ist ein globales Technologieunternehmen, das eine Reihe von Halbleitern, Unternehmenssoftware und Sicherheitslösungen entwickelt, entwickelt und vertreibt. Das Unternehmen ist in zwei Segmenten tätig: Halbleiterlösungen und Infrastruktursoftware. Das Segment der Halbleiterlösungen umfasst alle Produktlinien und Lizenzen für geistiges Eigentum (IP). Es bietet eine Vielzahl von Hochfrequenz-Halbleiterbauelementen, drahtlosen Konnektivitätslösungen, kundenspezifischen Touch-Controllern und induktiven Ladelösungen für mobile Anwendungen. Das Segment Infrastruktur-Software umfasst Private und Hybrid Cloud, Anwendungsentwicklung und -Bereitstellung, softwaredefinierte Edge, Anwendungsnetzwerk und -Sicherheit, Mainframe-, verteilte und Cybersicherheitslösungen sowie FC SAN. Es bietet ein Portfolio an Softwarelösungen, mit denen Kunden Anwendungen auf Mainframe-, verteilten, mobilen und Cloud-Plattformen planen, entwickeln, automatisieren, verwalten und sichern können.</v>
    <v>1.3834</v>
    <v>1886504791260</v>
    <v>Nasdaq Stock Market</v>
    <v>XNAS</v>
    <v>XNAS</v>
    <v>3421 Hillview Avenue, PALO ALTO, CA, 94304 US</v>
    <v>399.68</v>
    <v>Semiconductors &amp; Semiconductor Equipment</v>
    <v>Aktie</v>
    <v>83.531400000000005</v>
    <v>30</v>
    <v>46128.73990502266</v>
    <v>33000</v>
    <v>BROADCOM INC.</v>
    <v>392.35</v>
    <v>BROADCOM INC.</v>
    <v>395.35</v>
    <v>398.44499999999999</v>
    <v>396.72</v>
    <v>AVGO</v>
    <v>BROADCOM INC. (XNAS:AVGO)</v>
    <v>2018</v>
    <v>10109481</v>
    <v>25824848</v>
    <v>USD</v>
  </rv>
  <rv s="2">
    <v>31</v>
  </rv>
  <rv s="0">
    <v>https://www.bing.com/financeapi/forcetrigger?t=a1vmf2&amp;q=XNAS%3aINTC&amp;form=skydnc</v>
    <v>Learn more on Bing</v>
  </rv>
  <rv s="1">
    <v>de-DE</v>
    <v>a1vmf2</v>
    <v>268435456</v>
    <v>1</v>
    <v>Unterstützt von Refinitiv</v>
    <v>0</v>
    <v>1</v>
    <v>INTEL CORPORATION (XNAS:INTC)</v>
    <v>3</v>
    <v>4</v>
    <v>Finance</v>
    <v>5</v>
    <v>68.23</v>
    <v>18.25</v>
    <v>2.74</v>
    <v>4.2192999999999994E-2</v>
    <v>5021010000</v>
    <v>Intel Corporation ist in der Entwicklung und Herstellung von Halbleitern tätig. Sie ist in drei Segmenten tätig: Intel Produkte, Intel Foundry und alle anderen. Das Produktsegment von Intel umfasst die Client Computing Group (CCG), Data Center and AI (DCAI), Network and Edge (NEX). Das CCG konzentriert sich auf die langfristige Integration von Betriebssystem, Systemarchitektur, Hardware und Anwendungen, die PC-Erlebnisse ermöglichen. Das DCAI-Segment bietet Cloud-Service-Providern und Unternehmenskunden Workload-optimierte Lösungen sowie Halbleitergeräte für Kommunikationsdienstleister. Das NEX-Segment unterstützt Netzwerke und Edge-Computing-Systeme von unflexibler Hardware mit fester Funktion bis hin zu universellen Rechen-, Beschleunigungs- und Netzwerkgeräten, die Cloud-native Software auf programmierbarer Hardware ausführen. Das Segment Intel Foundry umfasst die Entwicklung von Gießereitechnologien, Gießereiherstellung und -Lieferkette sowie Gießereidienste. Alle anderen Segmente umfassen Altera, Mobileye und andere.</v>
    <v>1.6232</v>
    <v>339821956800</v>
    <v>Nasdaq Stock Market</v>
    <v>XNAS</v>
    <v>XNAS</v>
    <v>2200 Mission College Blvd, Rnb-4-151, SANTA CLARA, CA, 95054 US</v>
    <v>68.23</v>
    <v>Semiconductors &amp; Semiconductor Equipment</v>
    <v>Aktie</v>
    <v>0</v>
    <v>33</v>
    <v>46128.739921226559</v>
    <v>85100</v>
    <v>INTEL CORPORATION</v>
    <v>64.272000000000006</v>
    <v>INTEL CORPORATION</v>
    <v>64.94</v>
    <v>67.680000000000007</v>
    <v>64.94</v>
    <v>INTC</v>
    <v>INTEL CORPORATION (XNAS:INTC)</v>
    <v>1989</v>
    <v>68608788</v>
    <v>101300248</v>
    <v>USD</v>
  </rv>
  <rv s="2">
    <v>34</v>
  </rv>
  <rv s="0">
    <v>https://www.bing.com/financeapi/forcetrigger?t=a24kjc&amp;q=XNYS%3aTSM&amp;form=skydnc</v>
    <v>Learn more on Bing</v>
  </rv>
  <rv s="1">
    <v>de-DE</v>
    <v>a24kjc</v>
    <v>268435456</v>
    <v>1</v>
    <v>Unterstützt von Refinitiv</v>
    <v>0</v>
    <v>1</v>
    <v>Taiwan Semiconductor Manufacturing Company Limited (XNYS:TSM)</v>
    <v>3</v>
    <v>4</v>
    <v>Finance</v>
    <v>5</v>
    <v>390.20499999999998</v>
    <v>145.84</v>
    <v>-11.54</v>
    <v>-3.0764999999999997E-2</v>
    <v>5186505000</v>
    <v>Taiwan Semiconductor Manufacturing Co Ltd ist ein in Taiwan ansässiges Unternehmen, das hauptsächlich Dienstleistungen im Bereich der Herstellung integrierter Schaltungen anbietet. Die Dienstleistungen zur Herstellung integrierter Schaltkreise umfassen Prozesstechnologie, spezielle Prozesstechnologie, Design-Ökosystem-Unterstützung, Maskentechnologie, 3DFabricTM Advanced Packaging und Silizium-Stapelungstechnologie. Das Unternehmen hat den Transfer und die Massenproduktion der 5nm-Technologie abgeschlossen und beschäftigt sich mit der Forschung und Entwicklung der 3nm- und 2nm-Prozesstechnologie. Die Produktpalette deckt die gesamte elektronische Anwendungsindustrie ab, einschließlich Personalcomputer und Peripheriegeräte, Produkte für Informationsanwendungen, drahtgebundene und drahtlose Kommunikationssysteme, Server und Rechenzentren.</v>
    <v>1.3853</v>
    <v>1885605757800</v>
    <v>New York Stock Exchange</v>
    <v>XNYS</v>
    <v>XNYS</v>
    <v>No.8, Li-Hsin 6th Road, Hsinchu Science Park, HSINCHU, HSINCHU, 300 TW</v>
    <v>370.17</v>
    <v>Semiconductors &amp; Semiconductor Equipment</v>
    <v>Aktie</v>
    <v>34.389299999999999</v>
    <v>36</v>
    <v>46128.739929907031</v>
    <v>52045</v>
    <v>Taiwan Semiconductor Manufacturing Company Limited</v>
    <v>362.03</v>
    <v>Taiwan Semiconductor Manufacturing Company Limited</v>
    <v>368.86</v>
    <v>363.56</v>
    <v>375.1</v>
    <v>TSM</v>
    <v>Taiwan Semiconductor Manufacturing Company Limited (XNYS:TSM)</v>
    <v>1987</v>
    <v>19621679</v>
    <v>13099111</v>
    <v>USD</v>
  </rv>
  <rv s="2">
    <v>37</v>
  </rv>
  <rv s="0">
    <v>http://en.wikipedia.org/wiki/Public_domain</v>
    <v>Public domain</v>
  </rv>
  <rv s="0">
    <v>http://en.wikipedia.org/wiki/Qualcomm</v>
    <v>Wikipedia</v>
  </rv>
  <rv s="3">
    <v>39</v>
    <v>40</v>
  </rv>
  <rv s="4">
    <v>13</v>
    <v>https://www.bing.com/th?id=AMMS_2b1c176dae370ecc0d55a1517537f595&amp;qlt=95</v>
    <v>41</v>
    <v>0</v>
    <v>https://www.bing.com/images/search?form=xlimg&amp;q=qualcomm</v>
    <v>Image of QUALCOMM INCORPORATED</v>
  </rv>
  <rv s="0">
    <v>https://www.bing.com/financeapi/forcetrigger?t=a21k2w&amp;q=XNAS%3aQCOM&amp;form=skydnc</v>
    <v>Learn more on Bing</v>
  </rv>
  <rv s="5">
    <v>de-DE</v>
    <v>a21k2w</v>
    <v>268435456</v>
    <v>1</v>
    <v>Unterstützt von Refinitiv</v>
    <v>8</v>
    <v>9</v>
    <v>QUALCOMM INCORPORATED (XNAS:QCOM)</v>
    <v>11</v>
    <v>12</v>
    <v>Finance</v>
    <v>5</v>
    <v>205.95</v>
    <v>121.99</v>
    <v>1.63</v>
    <v>1.2251000000000001E-2</v>
    <v>1067000000</v>
    <v>Qualcomm Incorporated ist in der Entwicklung und Vermarktung von grundlegenden Technologien für die drahtlose Industrie tätig, darunter drahtlose Konnektivität der dritten Generation (3G), vierten Generation (4G) und fünften Generation (5G) sowie Hochleistungs- und Low-Power-Computing, einschließlich künstlicher Intelligenz auf dem Gerät. Zu den Segmenten gehören Qualcomm CDMA Technologies (QCT), Qualcomm Technology Licensing (QTL) und Qualcomm Strategic Initiatives. QCT entwickelt und liefert integrierte Schaltkreise und Systemsoftware auf der Grundlage von 3G/4G/5G und anderen Technologien, einschließlich Hochfrequenz-Frontend, digitalem Cockpit und fortschrittlicher Fahrerassistenz und automatischem Fahren, Internet der Dinge einschließlich Unterhaltungselektronik, Industriegeräte und Edge-Netzwerkprodukte. QTL gewährt Lizenzen oder gewährt anderweitig Rechte zur Nutzung von Teilen seines Portfolios an geistigem Eigentum, die bestimmte Patentrechte enthalten, die für die Herstellung und den Verkauf bestimmter drahtloser Produkte von wesentlicher Bedeutung und/oder nützlich sind.</v>
    <v>1.2523</v>
    <v>42</v>
    <v>143703560000</v>
    <v>Nasdaq Stock Market</v>
    <v>XNAS</v>
    <v>XNAS</v>
    <v>5775 Morehouse Drive, SAN DIEGO, CA, 92121 US</v>
    <v>135.70140000000001</v>
    <v>Semiconductors &amp; Semiconductor Equipment</v>
    <v>Aktie</v>
    <v>27.824100000000001</v>
    <v>43</v>
    <v>46128.73994231406</v>
    <v>52000</v>
    <v>QUALCOMM INCORPORATED</v>
    <v>131.84</v>
    <v>QUALCOMM INCORPORATED</v>
    <v>131.99</v>
    <v>134.68</v>
    <v>133.05000000000001</v>
    <v>QCOM</v>
    <v>QUALCOMM INCORPORATED (XNAS:QCOM)</v>
    <v>1991</v>
    <v>3771971</v>
    <v>12273405</v>
    <v>USD</v>
  </rv>
  <rv s="2">
    <v>44</v>
  </rv>
  <rv s="0">
    <v>https://www.bing.com/financeapi/forcetrigger?t=a1y4oc&amp;q=XNAS%3aMU&amp;form=skydnc</v>
    <v>Learn more on Bing</v>
  </rv>
  <rv s="1">
    <v>de-DE</v>
    <v>a1y4oc</v>
    <v>268435456</v>
    <v>1</v>
    <v>Unterstützt von Refinitiv</v>
    <v>0</v>
    <v>1</v>
    <v>MICRON TECHNOLOGY, INC. (XNAS:MU)</v>
    <v>3</v>
    <v>4</v>
    <v>Finance</v>
    <v>5</v>
    <v>471.34</v>
    <v>65.644999999999996</v>
    <v>2.0360999999999998</v>
    <v>4.463E-3</v>
    <v>1127734000</v>
    <v>Micron Technology, Inc. Bietet Speicher- und Speicherlösungen. Das Unternehmen bietet ein Portfolio an leistungsstarken DRAM-, NAND- und NOR-Speicher- und Speicherprodukten über seine Marken Micron und Crucial. Die Produkte des Unternehmens ermöglichen Fortschritte bei künstlicher Intelligenz (KI) und rechenintensiven Anwendungen. Zu den Segmenten gehören Compute and Networking Business Unit (CNBU), Mobile Business Unit (MBU), Embedded Business Unit (EBU) und Storage Business Unit (SBU). Das CNBU-Segment umfasst Speicherprodukte und -Lösungen, die für Rechenzentren, PC, Grafik und Netzwerkmärkte verkauft werden. Das MBU-Segment umfasst Speicher- und Speicherprodukte, die auf dem Smartphone- und anderen Märkten für mobile Geräte verkauft werden. Das EBU-Segment umfasst Speicher- und Speicherprodukte und -Lösungen, die über die Embedded-Märkte für Automobil, Industrie und Verbraucher an die intelligente Peripherie verkauft werden. Das SBU-Segment umfasst SSDs und Speicherlösungen auf Komponentenebene, die in Rechenzentren, PCs und Verbrauchermärkten verkauft werden.</v>
    <v>1.7721</v>
    <v>516802262017</v>
    <v>Nasdaq Stock Market</v>
    <v>XNAS</v>
    <v>XNAS</v>
    <v>8000 S Federal Way, Po Box 6, BOISE, ID, 83716-9632 US</v>
    <v>462.3</v>
    <v>Semiconductors &amp; Semiconductor Equipment</v>
    <v>Aktie</v>
    <v>21.635400000000001</v>
    <v>46</v>
    <v>46128.73993369141</v>
    <v>53000</v>
    <v>MICRON TECHNOLOGY, INC.</v>
    <v>444.74</v>
    <v>MICRON TECHNOLOGY, INC.</v>
    <v>453</v>
    <v>458.26609999999999</v>
    <v>456.23</v>
    <v>MU</v>
    <v>MICRON TECHNOLOGY, INC. (XNAS:MU)</v>
    <v>1984</v>
    <v>23498907</v>
    <v>50162056</v>
    <v>USD</v>
  </rv>
  <rv s="2">
    <v>47</v>
  </rv>
  <rv s="0">
    <v>https://www.bing.com/financeapi/forcetrigger?t=a1nhlh&amp;q=XNAS%3aAMZN&amp;form=skydnc</v>
    <v>Learn more on Bing</v>
  </rv>
  <rv s="1">
    <v>de-DE</v>
    <v>a1nhlh</v>
    <v>268435456</v>
    <v>1</v>
    <v>Unterstützt von Refinitiv</v>
    <v>0</v>
    <v>1</v>
    <v>AMAZON.COM, INC. (XNAS:AMZN)</v>
    <v>3</v>
    <v>4</v>
    <v>Finance</v>
    <v>5</v>
    <v>258.60000000000002</v>
    <v>165.285</v>
    <v>0.87</v>
    <v>3.5010000000000002E-3</v>
    <v>10754390000</v>
    <v>Amazon.com, Inc. bietet eine Reihe von Produkten und Dienstleistungen für Kunden an. Die in den Geschäften des Unternehmens angebotenen Produkte umfassen Waren und Inhalte, die das Unternehmen zum Wiederverkauf erworben hat, sowie Produkte, die von Drittanbietern angeboten werden. Zu den Segmenten des Unternehmens gehören Nordamerika, International und Amazon Web Services (AWS). Das Unternehmen bedient seine Kunden über seine Online- und Ladengeschäfte und konzentriert sich dabei auf Auswahl, Preis und Komfort. Die Kunden greifen auf die Angebote des Unternehmens über seine Websites, mobile Apps, Alexa, Geräte, Streaming und physische Besuche in seinen Geschäften zu. Darüber hinaus produziert und vertreibt das Unternehmen elektronische Geräte, darunter Kindle, Fire Tablet, Fire TV, Echo, Ring, Blink und eero, und entwickelt und produziert Medieninhalte. AWS bietet Entwicklern und Unternehmen aller Größenordnungen, einschließlich Start-ups, Behörden und akademischen Einrichtungen, eine Reihe von On-Demand-Technologiediensten an, darunter Rechen-, Speicher-, Datenbank-, Analyse- und maschinelles Lernen-Dienste sowie andere Dienste.</v>
    <v>1.4165000000000001</v>
    <v>2681822234300</v>
    <v>Nasdaq Stock Market</v>
    <v>XNAS</v>
    <v>XNAS</v>
    <v>410 Terry Avenue North, SEATTLE, WA, 98109 US</v>
    <v>250</v>
    <v>Diversified Retail</v>
    <v>Aktie</v>
    <v>34.768999999999998</v>
    <v>49</v>
    <v>46128.739949490628</v>
    <v>1576000</v>
    <v>AMAZON.COM, INC.</v>
    <v>244.2</v>
    <v>AMAZON.COM, INC.</v>
    <v>249</v>
    <v>249.37</v>
    <v>248.5</v>
    <v>AMZN</v>
    <v>AMAZON.COM, INC. (XNAS:AMZN)</v>
    <v>1996</v>
    <v>24927049</v>
    <v>45032152</v>
    <v>USD</v>
  </rv>
  <rv s="2">
    <v>50</v>
  </rv>
  <rv s="0">
    <v>https://en.wikipedia.org/wiki/Microsoft</v>
    <v>Wikipedia</v>
  </rv>
  <rv s="3">
    <v>39</v>
    <v>52</v>
  </rv>
  <rv s="4">
    <v>13</v>
    <v>https://www.bing.com/th?id=AMMS_e6e837c7bf3a77408619758b7447855a&amp;qlt=95</v>
    <v>53</v>
    <v>0</v>
    <v>https://www.bing.com/images/search?form=xlimg&amp;q=microsoft</v>
    <v>Image of MICROSOFT CORPORATION</v>
  </rv>
  <rv s="0">
    <v>https://www.bing.com/financeapi/forcetrigger?t=a1xzim&amp;q=XNAS%3aMSFT&amp;form=skydnc</v>
    <v>Learn more on Bing</v>
  </rv>
  <rv s="5">
    <v>de-DE</v>
    <v>a1xzim</v>
    <v>268435456</v>
    <v>1</v>
    <v>Unterstützt von Refinitiv</v>
    <v>8</v>
    <v>9</v>
    <v>MICROSOFT CORPORATION (XNAS:MSFT)</v>
    <v>11</v>
    <v>12</v>
    <v>Finance</v>
    <v>5</v>
    <v>555.45000000000005</v>
    <v>355.67</v>
    <v>8.64</v>
    <v>2.1011000000000002E-2</v>
    <v>7425629000</v>
    <v>Microsoft Corporation ist ein Technologieunternehmen. Das Unternehmen entwickelt und unterstützt Software, Services, Geräte und Lösungen. Zu den Segmenten des Unternehmens gehören Produktivität und Geschäftsprozesse, Intelligent Cloud und mehr Personal Computing. Das Segment Produktivität und Geschäftsprozesse umfasst Produkte und Dienstleistungen in seinem Portfolio an Produktivitäts-, Kommunikations- und Informationsdiensten. Dieses Segment umfasst hauptsächlich: Office Commercial, Office Consumer, LinkedIn und Dynamics Business Solutions. Das Segment Intelligent Cloud besteht aus Serverprodukten und Cloud-Services, einschließlich Azure und anderen Cloud-Services, SQL Server, Windows Server, Visual Studio, System Center, und zugehörige Client Access Licenses (CALs) sowie Nuance und GitHub und Enterprise Services, einschließlich Enterprise Services, Enterprise Support Services, Branchenlösungen und Nuance Professional Services. Das Segment mehr Personal Computing umfasst in erster Linie Windows, Geräte, Gaming sowie Such- und Nachrichtenwerbung.</v>
    <v>1.1188</v>
    <v>54</v>
    <v>3117724591940</v>
    <v>Nasdaq Stock Market</v>
    <v>XNAS</v>
    <v>XNAS</v>
    <v>One Microsoft Way, REDMOND, WA, 98052 US</v>
    <v>420.56</v>
    <v>Software &amp; IT Services</v>
    <v>Aktie</v>
    <v>26.270099999999999</v>
    <v>55</v>
    <v>46128.739890126562</v>
    <v>228000</v>
    <v>MICROSOFT CORPORATION</v>
    <v>412.14</v>
    <v>MICROSOFT CORPORATION</v>
    <v>419.97</v>
    <v>419.86</v>
    <v>411.22</v>
    <v>MSFT</v>
    <v>MICROSOFT CORPORATION (XNAS:MSFT)</v>
    <v>1993</v>
    <v>24867051</v>
    <v>32194949</v>
    <v>USD</v>
  </rv>
  <rv s="2">
    <v>56</v>
  </rv>
  <rv s="0">
    <v>https://www.bing.com/financeapi/forcetrigger?t=a1u3rw&amp;q=XNAS%3aGOOGL&amp;form=skydnc</v>
    <v>Learn more on Bing</v>
  </rv>
  <rv s="1">
    <v>de-DE</v>
    <v>a1u3rw</v>
    <v>268435456</v>
    <v>1</v>
    <v>Unterstützt von Refinitiv</v>
    <v>0</v>
    <v>1</v>
    <v>ALPHABET INC. (XNAS:GOOGL)</v>
    <v>3</v>
    <v>4</v>
    <v>Finance</v>
    <v>5</v>
    <v>349</v>
    <v>146.1</v>
    <v>-0.91</v>
    <v>-2.6989999999999996E-3</v>
    <v>12097000000</v>
    <v>Alphabet Inc. Ist eine Holdinggesellschaft. Zu den Segmenten des Unternehmens gehören Google Services, Google Cloud und andere Wetten. Das Segment Google Services umfasst Produkte und Dienstleistungen wie Anzeigen, Android, Chrome, Geräte, Google Maps, Google Play, Suche und YouTube. Das Segment Google Cloud umfasst Infrastruktur- und Plattformdienste, Collaboration-Tools und andere Services für Unternehmenskunden. Das Segment Sonstige Wetten ist im Verkauf von Gesundheitsdienstleistungen und Internetdiensten tätig. Die Google Cloud bietet unternehmensfähige Cloud-Dienste, einschließlich Google Cloud Platform und Google Workspace. Die Google Cloud Platform bietet Zugriff auf Lösungen wie künstliche Intelligenz (KI), einschließlich KI-Infrastruktur, Vertex KI-Plattform und Gemini für Google Cloud, Cybersicherheit sowie Daten und Analysen. Google Workspace umfasst Cloud-basierte Kommunikations- und Collaboration-Tools für Unternehmen wie Kalender, Gmail, Docs, Drive, und treffen Sie sich.</v>
    <v>1.1456</v>
    <v>4067132369999</v>
    <v>Nasdaq Stock Market</v>
    <v>XNAS</v>
    <v>XNAS</v>
    <v>1600 Amphitheatre Parkway, MOUNTAIN VIEW, CA, 94043 US</v>
    <v>339.88</v>
    <v>Software &amp; IT Services</v>
    <v>Aktie</v>
    <v>31.101800000000001</v>
    <v>58</v>
    <v>46128.739927673436</v>
    <v>190820</v>
    <v>ALPHABET INC.</v>
    <v>335.60500000000002</v>
    <v>ALPHABET INC.</v>
    <v>338.43</v>
    <v>336.21</v>
    <v>337.12</v>
    <v>GOOGL</v>
    <v>ALPHABET INC. (XNAS:GOOGL)</v>
    <v>2015</v>
    <v>9872335</v>
    <v>28190353</v>
    <v>USD</v>
  </rv>
  <rv s="2">
    <v>59</v>
  </rv>
  <rv s="0">
    <v>https://www.bing.com/financeapi/forcetrigger?t=a1slm7&amp;q=XNAS%3aMETA&amp;form=skydnc</v>
    <v>Learn more on Bing</v>
  </rv>
  <rv s="1">
    <v>de-DE</v>
    <v>a1slm7</v>
    <v>268435456</v>
    <v>1</v>
    <v>Unterstützt von Refinitiv</v>
    <v>0</v>
    <v>1</v>
    <v>META PLATFORMS, INC. (XNAS:META)</v>
    <v>3</v>
    <v>4</v>
    <v>Finance</v>
    <v>5</v>
    <v>796.25</v>
    <v>479.8</v>
    <v>4.5350000000000001</v>
    <v>6.7530000000000003E-3</v>
    <v>2529555000</v>
    <v>Meta Platforms, Inc. Baut auf künstlicher Intelligenz und immersiven Technologien menschliche Verbindungen auf. Die Produkte des Unternehmens ermöglichen es Menschen, über mobile Geräte, PCs, Virtual Reality (VR) und Mixed Reality (MR) Headsets, Augmented Reality (AR) und Wearables mit Freunden und Familie zu kommunizieren und mit ihnen zu teilen. Darüber hinaus hilft es Menschen, herauszufinden und mehr darüber zu erfahren, was in der Welt um sie herum vor sich geht, und ermöglicht es Menschen, ihre Erfahrungen, Ideen, Fotos, Videos und andere Inhalte mit Zielgruppen zu teilen, die von ihren engsten Familienmitgliedern und Freunden bis hin zur breiten Öffentlichkeit reichen. Zu den Segmenten des Unternehmens gehören Family of Apps (FOA) und Reality Labs (RL). FOA-Segment umfasst Facebook, Instagram, Messenger, WhatsApp und Threads. Das RL-Segment umfasst seine virtuelle, erweiterte und gemischte Realität-bezogene Hardware, -Software und -Inhalte für Verbraucher. Zu den Produktangeboten für VR gehören Meta Quest-Geräte sowie Software und Inhalte, die im Meta Horizon Store erhältlich sind.</v>
    <v>1.3375999999999999</v>
    <v>1710270078825</v>
    <v>Nasdaq Stock Market</v>
    <v>XNAS</v>
    <v>XNAS</v>
    <v>1 Meta Way, MENLO PARK, CA, 94025 US</v>
    <v>677.41</v>
    <v>Software &amp; IT Services</v>
    <v>Aktie</v>
    <v>23.130400000000002</v>
    <v>61</v>
    <v>46128.739948853909</v>
    <v>78865</v>
    <v>META PLATFORMS, INC.</v>
    <v>667.75</v>
    <v>META PLATFORMS, INC.</v>
    <v>676.21</v>
    <v>676.11500000000001</v>
    <v>671.58</v>
    <v>META</v>
    <v>META PLATFORMS, INC. (XNAS:META)</v>
    <v>2004</v>
    <v>5057872</v>
    <v>17306846</v>
    <v>USD</v>
  </rv>
  <rv s="2">
    <v>62</v>
  </rv>
  <rv s="0">
    <v>http://pt.wikipedia.org/wiki/Oracle_Corporation</v>
    <v>Wikipedia</v>
  </rv>
  <rv s="3">
    <v>39</v>
    <v>64</v>
  </rv>
  <rv s="4">
    <v>13</v>
    <v>https://www.bing.com/th?id=AMMS_672116c618c664d13b2515d6587ba357&amp;qlt=95</v>
    <v>65</v>
    <v>0</v>
    <v>https://www.bing.com/images/search?form=xlimg&amp;q=oracle+corporation</v>
    <v>Image of ORACLE CORPORATION</v>
  </rv>
  <rv s="0">
    <v>https://www.bing.com/financeapi/forcetrigger?t=a1zbec&amp;q=XNYS%3aORCL&amp;form=skydnc</v>
    <v>Learn more on Bing</v>
  </rv>
  <rv s="5">
    <v>de-DE</v>
    <v>a1zbec</v>
    <v>268435456</v>
    <v>1</v>
    <v>Unterstützt von Refinitiv</v>
    <v>8</v>
    <v>9</v>
    <v>ORACLE CORPORATION (XNYS:ORCL)</v>
    <v>11</v>
    <v>12</v>
    <v>Finance</v>
    <v>5</v>
    <v>345.72</v>
    <v>121.235</v>
    <v>7.97</v>
    <v>4.6935000000000004E-2</v>
    <v>2876046000</v>
    <v>Oracle Corporation bietet integrierte Anwendungspakete sowie eine sichere, autonome Infrastruktur in der Oracle Cloud. Das Unternehmen ist in drei Geschäftsbereichen tätig: Cloud und Lizenz, Hardware und Service. Sein Cloud- und Lizenzgeschäft ist im Verkauf, Marketing und Bereitstellung seiner Unternehmensanwendungen und Infrastrukturtechnologien über Cloud- und On-Premise-Bereitstellungsmodelle tätig, einschließlich Cloud-Services und Lizenzsupport sowie Cloud-Lizenz- und On-Premise-Lizenzangebote. Das Hardwaregeschäft bietet Infrastrukturtechnologien wie Oracle Engineered Systems, Server, Speicher, branchenspezifische Hardware, Betriebssysteme, Virtualisierungs-, Verwaltungs- und andere hardwarebezogene Software zur Unterstützung verschiedener IT-Umgebungen. Das Servicegeschäft bietet Kunden und Partnern Services an, um die Performance ihrer Investitionen in Oracle-Anwendungen und Infrastrukturtechnologien zu maximieren.</v>
    <v>1.617</v>
    <v>66</v>
    <v>511303457880</v>
    <v>New York Stock Exchange</v>
    <v>XNYS</v>
    <v>XNYS</v>
    <v>2300 Oracle Way, AUSTIN, TX, 78741 US</v>
    <v>180.26</v>
    <v>Software &amp; IT Services</v>
    <v>Aktie</v>
    <v>31.4588</v>
    <v>67</v>
    <v>46128.739859976566</v>
    <v>162000</v>
    <v>ORACLE CORPORATION</v>
    <v>173.8</v>
    <v>ORACLE CORPORATION</v>
    <v>176.34</v>
    <v>177.78</v>
    <v>169.81</v>
    <v>ORCL</v>
    <v>ORACLE CORPORATION (XNYS:ORCL)</v>
    <v>2005</v>
    <v>34334335</v>
    <v>28549611</v>
    <v>USD</v>
  </rv>
  <rv s="2">
    <v>68</v>
  </rv>
  <rv s="0">
    <v>http://en.wikipedia.org/wiki/IBM</v>
    <v>Wikipedia</v>
  </rv>
  <rv s="3">
    <v>39</v>
    <v>70</v>
  </rv>
  <rv s="4">
    <v>13</v>
    <v>https://www.bing.com/th?id=AMMS_41da901be1b295dc42c72dadb9c0f67d&amp;qlt=95</v>
    <v>71</v>
    <v>0</v>
    <v>https://www.bing.com/images/search?form=xlimg&amp;q=ibm</v>
    <v>Image of INTERNATIONAL BUSINESS MACHINES CORPORATION</v>
  </rv>
  <rv s="0">
    <v>https://www.bing.com/financeapi/forcetrigger?t=a1v6nm&amp;q=XNYS%3aIBM&amp;form=skydnc</v>
    <v>Learn more on Bing</v>
  </rv>
  <rv s="5">
    <v>de-DE</v>
    <v>a1v6nm</v>
    <v>268435456</v>
    <v>1</v>
    <v>Unterstützt von Refinitiv</v>
    <v>8</v>
    <v>9</v>
    <v>INTERNATIONAL BUSINESS MACHINES CORPORATION (XNYS:IBM)</v>
    <v>11</v>
    <v>12</v>
    <v>Finance</v>
    <v>5</v>
    <v>324.89999999999998</v>
    <v>220.72</v>
    <v>6.0449999999999999</v>
    <v>2.4693999999999997E-2</v>
    <v>938034400</v>
    <v>Die International Business Machines Corporation ist ein Anbieter globaler Hybrid-Cloud- und künstlicher Intelligenz (KI) sowie Beratungskompetenz. Zu den Segmenten des Unternehmens gehören Software, Consulting, Infrastruktur und Finanzierung. Das Softwaresegment umfasst Hybrid-Cloud- und KI-Plattformen, die es Kunden ermöglichen, ihre digitalen und KI-Transformationen über die Anwendungen, Daten und Umgebungen hinweg durchzuführen, in denen sie arbeiten. Das Segment Consulting konzentriert sich auf die Integration von Kompetenzen in den Bereichen Strategie, Erfahrung, Technologie und Betrieb nach Domäne und Branche. Das Segment Infrastruktur konzentriert sich auf den Markt für hybride Cloud-Infrastrukturen und bietet On-Premise- und Cloud-basierte Server- und Speicherlösungen. Darüber hinaus bietet es ein Portfolio an Lebenszyklusdiensten für die Bereitstellung einer Hybrid-Cloud-Infrastruktur. Das Finanzierungssegment bietet Kunden- und kommerzielle Finanzierungen und erleichtert den Erwerb von Hardware, Software und Dienstleistungen für seine Kunden. Es unterstützt Kunden in mehr als 175 Ländern.</v>
    <v>0.6431</v>
    <v>72</v>
    <v>235301239068</v>
    <v>New York Stock Exchange</v>
    <v>XNYS</v>
    <v>XNYS</v>
    <v>One New Orchard Road, ARMONK, NY, 10504 US</v>
    <v>251.22</v>
    <v>Software &amp; IT Services</v>
    <v>Aktie</v>
    <v>20.3276</v>
    <v>73</v>
    <v>46128.73991001094</v>
    <v>286800</v>
    <v>INTERNATIONAL BUSINESS MACHINES CORPORATION</v>
    <v>246.125</v>
    <v>INTERNATIONAL BUSINESS MACHINES CORPORATION</v>
    <v>248.61</v>
    <v>250.845</v>
    <v>244.8</v>
    <v>IBM</v>
    <v>INTERNATIONAL BUSINESS MACHINES CORPORATION (XNYS:IBM)</v>
    <v>1911</v>
    <v>2353137</v>
    <v>4744628</v>
    <v>USD</v>
  </rv>
  <rv s="2">
    <v>74</v>
  </rv>
  <rv s="0">
    <v>https://www.bing.com/financeapi/forcetrigger?t=a26dyc&amp;q=XNAS%3aYNDX&amp;form=skydnc</v>
    <v>Learn more on Bing</v>
  </rv>
  <rv s="1">
    <v>de-DE</v>
    <v>a26dyc</v>
    <v>268435456</v>
    <v>1</v>
    <v>Unterstützt von Refinitiv</v>
    <v>0</v>
    <v>1</v>
    <v>Nebius Group NV (XNAS:NBIS)</v>
    <v>3</v>
    <v>4</v>
    <v>Finance</v>
    <v>5</v>
    <v>168.71</v>
    <v>20.25</v>
    <v>-3.46</v>
    <v>-2.0747000000000002E-2</v>
    <v>253017000</v>
    <v>Nebius Group NV ist ein in den Niederlanden ansässiges Infrastrukturunternehmen, das in der Technologiebranche tätig ist. Das Unternehmen ist an der Entwicklung eines Portfolios an Technologien im Zusammenhang mit künstlicher Intelligenz beteiligt. Sie ist an der Schaffung eines Akteurs beteiligt, der auf künstliche Intelligenz ausgerichtet ist, um die wesentlichen Elemente der Entwicklung künstlicher Intelligenz in Infrastruktur, Daten und Beratung weltweit zu integrieren. Es bietet Produkte und Dienstleistungen wie eine Cloud-Plattform für Workloads im Zusammenhang mit künstlicher Intelligenz, Services für Entwicklungsteams für autonome Fahrzeuge, Entwicklung generativer künstlicher Intelligenz. Nebius baut eine komplette Infrastruktur auf, um das Wachstum der globalen KI-Branche zu unterstützen, einschließlich GPU-Clustern, Cloud-Plattformen sowie Tools und Services für Entwickler. Das Unternehmen entwickelt drei weitere Geschäftsbereiche, die unter ihren eigenen Marken tätig sind: Toloka AI, TripleTen und Avride.</v>
    <v>-12.058</v>
    <v>41320206270</v>
    <v>Nasdaq Stock Market</v>
    <v>XNAS</v>
    <v>XNAS</v>
    <v>Schiphol Boulevard 165, SCHIPHOL, NOORD-HOLLAND, 1118BG NL</v>
    <v>168.71</v>
    <v>Professional &amp; Commercial Services</v>
    <v>Aktie</v>
    <v>980.25210000000004</v>
    <v>76</v>
    <v>46128.739884259259</v>
    <v>1371</v>
    <v>Nebius Group NV</v>
    <v>160.09010000000001</v>
    <v>Nebius Group NV</v>
    <v>167</v>
    <v>163.31</v>
    <v>166.77</v>
    <v>NBIS</v>
    <v>Nebius Group NV (XNAS:NBIS)</v>
    <v>2004</v>
    <v>10080346</v>
    <v>20049781</v>
    <v>USD</v>
  </rv>
  <rv s="2">
    <v>77</v>
  </rv>
  <rv s="0">
    <v>https://www.bing.com/financeapi/forcetrigger?t=a1nihw&amp;q=XNYS%3aANET&amp;form=skydnc</v>
    <v>Learn more on Bing</v>
  </rv>
  <rv s="1">
    <v>de-DE</v>
    <v>a1nihw</v>
    <v>268435456</v>
    <v>1</v>
    <v>Unterstützt von Refinitiv</v>
    <v>0</v>
    <v>1</v>
    <v>ARISTA NETWORKS, INC. (XNYS:ANET)</v>
    <v>3</v>
    <v>4</v>
    <v>Finance</v>
    <v>5</v>
    <v>164.94</v>
    <v>66.59</v>
    <v>4.7450000000000001</v>
    <v>3.0746000000000002E-2</v>
    <v>1256538000</v>
    <v>Arista Networks, Inc. Ist ein Anbieter datengesteuerter Client-to-Cloud-Netzwerke für große KI-Umgebungen, Rechenzentren, Campus- und Routing-Umgebungen. Seine Plattformen bieten Verfügbarkeit, Agilität, Automatisierung, Analyse und Sicherheit über einen erweiterten Netzwerkbetriebsstapel. Seine Plattform ist das Extensible Operating System (EOS), ein modernisiertes Publish-Subscribe-State-Sharing-Netzwerkbetriebssystem. Sein Portfolio an Produkten, Services und Technologien ist in verschiedene Kategorien unterteilt: Core (Rechenzentrum, Cloud und KI-Netzwerke), Cognitive Adjacences (Campus und Routing) und Cognitive Network (Software und Services). Es bietet Produktportfolios an datengesteuerten, schnellen, Cloud- und Rechenzentrums-Ethernet-Switches. Zu den kognitiven Adjakanzen gehören Cognitive Campus Switching, Cloud-Grade Routing und WAN Routing. Die Software und Services basieren auf abonnementbasierten Modellen und umfassen verschiedene Angebote: CloudVision, Arista A-Care Services, CloudEOS und andere.</v>
    <v>1.5648</v>
    <v>199883782350</v>
    <v>New York Stock Exchange</v>
    <v>XNYS</v>
    <v>XNYS</v>
    <v>5453 Great America Pkwy, SANTA CLARA, CA, 95054 US</v>
    <v>159.55000000000001</v>
    <v>Communications &amp; Networking</v>
    <v>Aktie</v>
    <v>57.7866</v>
    <v>79</v>
    <v>46128.739874490624</v>
    <v>5115</v>
    <v>ARISTA NETWORKS, INC.</v>
    <v>153.375</v>
    <v>ARISTA NETWORKS, INC.</v>
    <v>155.85</v>
    <v>159.07499999999999</v>
    <v>154.33000000000001</v>
    <v>ANET</v>
    <v>ARISTA NETWORKS, INC. (XNYS:ANET)</v>
    <v>2011</v>
    <v>3749045</v>
    <v>6558918</v>
    <v>USD</v>
  </rv>
  <rv s="2">
    <v>80</v>
  </rv>
  <rv s="0">
    <v>https://www.bing.com/financeapi/forcetrigger?t=a1qe5r&amp;q=XNAS%3aCSCO&amp;form=skydnc</v>
    <v>Learn more on Bing</v>
  </rv>
  <rv s="1">
    <v>de-DE</v>
    <v>a1qe5r</v>
    <v>268435456</v>
    <v>1</v>
    <v>Unterstützt von Refinitiv</v>
    <v>0</v>
    <v>1</v>
    <v>CISCO SYSTEMS, INC. (XNAS:CSCO)</v>
    <v>3</v>
    <v>4</v>
    <v>Finance</v>
    <v>5</v>
    <v>88.185000000000002</v>
    <v>53.83</v>
    <v>1.4850000000000001</v>
    <v>1.8030999999999998E-2</v>
    <v>3949893000</v>
    <v>Cisco Systems, Inc. Entwickelt und verkauft eine Reihe von Technologien, die das Internet antreiben. Das Unternehmen integriert seine Produktportfolios für Netzwerke, Sicherheit, Zusammenarbeit, Anwendungen und die Cloud. Zu den Segmenten des Unternehmens gehören Nord- und Südamerika, Europa, Naher Osten und Afrika (EMEA) sowie Asien-Pazifik-Raum, Japan und China (APJC). Die Produktkategorie Networking repräsentiert die wichtigsten Netzwerktechnologien Switching, Routing, Wireless, 5G (5G), Silizium, optische Lösungen und Computerprodukte. Die Produktkategorie Sicherheit umfasst Cloud- und Anwendungssicherheit, industrielle Sicherheit, Netzwerksicherheit sowie Benutzer- und Gerätesicherheit. Die Produktkategorie Collaboration umfasst Meetings, Collaboration-Geräte, Anrufe, Contact Center und CPaaS-Angebote (Platform as a Service). Die Produktkategorie „Observability“ besteht aus den Angeboten zur vollständigen Beobachtung.</v>
    <v>0.84040000000000004</v>
    <v>331178778585</v>
    <v>Nasdaq Stock Market</v>
    <v>XNAS</v>
    <v>XNAS</v>
    <v>170 West Tasman Dr, SAN JOSE, CA, 95134-1706 US</v>
    <v>83.859899999999996</v>
    <v>Communications &amp; Networking</v>
    <v>Aktie</v>
    <v>30.200299999999999</v>
    <v>82</v>
    <v>46128.739901214845</v>
    <v>86200</v>
    <v>CISCO SYSTEMS, INC.</v>
    <v>82</v>
    <v>CISCO SYSTEMS, INC.</v>
    <v>82.08</v>
    <v>83.844999999999999</v>
    <v>82.36</v>
    <v>CSCO</v>
    <v>CISCO SYSTEMS, INC. (XNAS:CSCO)</v>
    <v>2021</v>
    <v>4995131</v>
    <v>21851287</v>
    <v>USD</v>
  </rv>
  <rv s="2">
    <v>83</v>
  </rv>
  <rv s="6">
    <v>de-DE</v>
    <v>c9383m</v>
    <v>268435456</v>
    <v>1</v>
    <v>Unterstützt von Refinitiv</v>
    <v>14</v>
    <v>15</v>
    <v>JUNIPER NETWORKS, INC. (XMEX:JNPR*)</v>
    <v>16</v>
    <v>17</v>
    <v>Finance</v>
    <v>18</v>
    <v>756.03</v>
    <v>702.25</v>
    <v>14.43</v>
    <v>2.0548E-2</v>
    <v>334382600</v>
    <v>Juniper Networks, Inc. Stellt seinen Kunden sichere Netzwerktechnologie zur Verfügung, darunter Netzwerkbetreiber, Telekommunikations- und Cloud-Anbieter, IT-Teams, Geschäftsbereiche und Netzwerkbenutzer wie einzelne Geräte, Maschinen, Anwendungen, Mikroservices und Datenspeicher. Die künstliche Intelligenz (KI)-Native Networking Platform wurde von Grund auf entwickelt, um KI zu nutzen, um sichere und nachhaltige Benutzererfahrungen von der Peripherie bis zum Rechenzentrum und der Cloud bereitzustellen. Die SaaS-Plattform (AI-Native, Enterprise Networking Operations, AIOps) nutzt Daten und Automatisierung, um eine zuverlässige, vorhersehbare und messbare Benutzererfahrung sowie eine überlegene Leistung für Betreiber zu ermöglichen, indem die Bereitstellung und der tägliche Betrieb im gesamten Netzwerk vereinfacht werden. Es entwirft und baut Produkte und Lösungen, die den Prioritäten seiner Kunden entsprechen, einschließlich Wide Area Networking, Campus und Zweigstellen und Rechenzentren.</v>
    <v>0.77170000000000005</v>
    <v>11474640000</v>
    <v>Mexican Stock Exchange</v>
    <v>XMEX</v>
    <v>XMEX</v>
    <v>1133 Innovation Way, SUNNYVALE, CA, 94089 US</v>
    <v>716.68</v>
    <v>Communications &amp; Networking</v>
    <v>Aktie</v>
    <v>45688.83053240741</v>
    <v>11271</v>
    <v>JUNIPER NETWORKS, INC.</v>
    <v>716.68</v>
    <v>JUNIPER NETWORKS, INC.</v>
    <v>716.68</v>
    <v>716.68</v>
    <v>702.25</v>
    <v>JNPR*</v>
    <v>JUNIPER NETWORKS, INC. (XMEX:JNPR*)</v>
    <v>1997</v>
    <v>29100</v>
    <v>5845260</v>
    <v>MXN</v>
  </rv>
  <rv s="2">
    <v>85</v>
  </rv>
  <rv s="0">
    <v>https://www.bing.com/financeapi/forcetrigger?t=a1ppvh&amp;q=XNYS%3aCIEN&amp;form=skydnc</v>
    <v>Learn more on Bing</v>
  </rv>
  <rv s="1">
    <v>de-DE</v>
    <v>a1ppvh</v>
    <v>268435456</v>
    <v>1</v>
    <v>Unterstützt von Refinitiv</v>
    <v>0</v>
    <v>1</v>
    <v>CIENA CORPORATION (XNYS:CIEN)</v>
    <v>3</v>
    <v>4</v>
    <v>Finance</v>
    <v>5</v>
    <v>513.48990000000003</v>
    <v>56.94</v>
    <v>12.135</v>
    <v>2.5506999999999998E-2</v>
    <v>141398400</v>
    <v>Ciena Corporation ist ein Netzwerksystem-, Software- und Serviceunternehmen, das Hardware, Software und Services für eine Reihe von Netzwerkbetreibern bereitstellt und eine verbesserte Netzwerkkapazität, Servicebereitstellung und Automatisierung ermöglicht. Zu den Segmenten gehören Netzwerkplattformen, Plattformsoftware und -services, Blue Planet Automation Software und Services sowie Global Services. Das Segment Netzwerkplattformen besteht aus den Portfolios für optische Netzwerke sowie Routing und Switching. Plattformsoftware und -services bietet Tools und Anwendungen für Domänenkontrollverwaltung, Analysen, Daten und Planung, um Kunden bei der Verwaltung ihrer Netzwerke zu unterstützen. Blue Planet Automation Software und Services umfasst Bestandsverwaltung (BPI), Multi-Domain-Service-Orchestrierung, Multi-Cloud-Orchestrierung, Routenoptimierung und -analyse (ROA) sowie Unified Assurance und Analytics (UAA). Das Segment Global Services bietet eine Reihe von Mehrwertdiensten, die seinen Kunden beim Aufbau, Betrieb und der Verbesserung ihrer Netzwerke helfen.</v>
    <v>1.1424000000000001</v>
    <v>68987572368</v>
    <v>New York Stock Exchange</v>
    <v>XNYS</v>
    <v>XNYS</v>
    <v>7035 Ridge Road, HANOVER, MD, 21076 US</v>
    <v>491.74</v>
    <v>Communications &amp; Networking</v>
    <v>Aktie</v>
    <v>574.39959999999996</v>
    <v>87</v>
    <v>46128.739845705466</v>
    <v>8898</v>
    <v>CIENA CORPORATION</v>
    <v>462.00009999999997</v>
    <v>CIENA CORPORATION</v>
    <v>480.18</v>
    <v>487.89499999999998</v>
    <v>475.76</v>
    <v>CIEN</v>
    <v>CIENA CORPORATION (XNYS:CIEN)</v>
    <v>1992</v>
    <v>1485537</v>
    <v>3201503</v>
    <v>USD</v>
  </rv>
  <rv s="2">
    <v>88</v>
  </rv>
  <rv s="0">
    <v>https://www.bing.com/financeapi/forcetrigger?t=a1utqh&amp;q=XNYS%3aHPE&amp;form=skydnc</v>
    <v>Learn more on Bing</v>
  </rv>
  <rv s="1">
    <v>de-DE</v>
    <v>a1utqh</v>
    <v>268435456</v>
    <v>1</v>
    <v>Unterstützt von Refinitiv</v>
    <v>0</v>
    <v>1</v>
    <v>HEWLETT PACKARD ENTERPRISE COMPANY (XNYS:HPE)</v>
    <v>3</v>
    <v>4</v>
    <v>Finance</v>
    <v>5</v>
    <v>26.44</v>
    <v>14.55</v>
    <v>0.88500000000000001</v>
    <v>3.5945999999999999E-2</v>
    <v>1326854000</v>
    <v>Hewlett Packard Enterprise Company ist das globale Edge-to-Cloud-Unternehmen. Es bietet offene und intelligente Technologielösungen als Service. Das Angebot umfasst Cloud-Services, Computing, High-Performance-Computing und künstliche Intelligenz, intelligente EDGE, Software und Speicher. Zu den Segmenten gehören Server, Hybrid Cloud, Intelligent Edge, Finanzdienstleistungen und Unternehmensinvestitionen und andere. Das Serversegment umfasst universelle Server für Multi-Workload-Computing, Workload-optimierte Server und integrierte Systeme. Das Segment Hybrid Cloud bietet eine Reihe von Cloud-nativen und hybriden Lösungen für Speicher, Private Cloud und Infrastruktur-Software-as-a-Service. Das Segment Intelligent Edge bietet kabelgebundene und drahtlose lokale Netzwerke, Campus-, Zweigstellen- und Rechenzentrumsvermittlung usw. Das Segment Financial Services bietet flexible Investitionslösungen wie Leasing, Finanzierung, IT-Verbrauch, Versorgungsprogramme, und Asset-Management-Services.</v>
    <v>1.1997</v>
    <v>33841411270</v>
    <v>New York Stock Exchange</v>
    <v>XNYS</v>
    <v>XNYS</v>
    <v>1701 E MOSSY OAKS ROAD, SPRING, TX, 77389 US</v>
    <v>25.72</v>
    <v>Computers, Phones &amp; Household Electronics</v>
    <v>Aktie</v>
    <v>0</v>
    <v>90</v>
    <v>46128.739889316406</v>
    <v>67000</v>
    <v>HEWLETT PACKARD ENTERPRISE COMPANY</v>
    <v>24.68</v>
    <v>HEWLETT PACKARD ENTERPRISE COMPANY</v>
    <v>24.88</v>
    <v>25.504999999999999</v>
    <v>24.62</v>
    <v>HPE</v>
    <v>HEWLETT PACKARD ENTERPRISE COMPANY (XNYS:HPE)</v>
    <v>2015</v>
    <v>7623429</v>
    <v>18379969</v>
    <v>USD</v>
  </rv>
  <rv s="2">
    <v>91</v>
  </rv>
  <rv s="0">
    <v>https://www.bing.com/financeapi/forcetrigger?t=a1ynp2&amp;q=XNYS%3aNOK&amp;form=skydnc</v>
    <v>Learn more on Bing</v>
  </rv>
  <rv s="1">
    <v>de-DE</v>
    <v>a1ynp2</v>
    <v>268435456</v>
    <v>1</v>
    <v>Unterstützt von Refinitiv</v>
    <v>0</v>
    <v>1</v>
    <v>Nokia Oyj (XNYS:NOK)</v>
    <v>3</v>
    <v>19</v>
    <v>Finance</v>
    <v>5</v>
    <v>10.56</v>
    <v>4</v>
    <v>0.245</v>
    <v>2.4525000000000002E-2</v>
    <v>5742240000</v>
    <v>Nokia Oyj ist ein in Finnland ansässiges Unternehmen, das sich im Netzwerk- und auf dem Internet Protocol basierende Infrastruktur, Software und amit verbundenen Dienstleistungen engagiert. Zu den Unternehmen der Gesellschaft gehören Nokia Networks und Nokia Technologies. Zu den Segmenten des Unternehmens zählen Ultra Broadband Networks, IP Networks and Applications, und Nokia Technologies. Das Segment Ultra Broadband Networks umfasst operative Segmente Mobile Networks und Fixed Networks. Das Segment IP Networks and Applications umfasst die operativen Segmente IP/Optical Networks und Applications &amp; Analytic. Das operative Segment Applications &amp; Analytics bietet Softwarelösungen, die Customer Experience Management, Netzwerk-aktivitäten und management, Kommunikation und Zusammenarbeit, Politik und Charging, sowie Cloud-, Internet der Dinge-, Sicherheits- und Analytics-Plattformen umfassen, die den digitalen Dienstleistern und Unternehmen ermöglichen, die Kundenwrfahrungen zu beschleunigen und zu optimieren. Comptel Oyj ist die Tochtergellschaft des Unternehmens.</v>
    <v>1.4171</v>
    <v>59432184000</v>
    <v>New York Stock Exchange</v>
    <v>XNYS</v>
    <v>XNYS</v>
    <v>Karakaari 7, 02610 FI</v>
    <v>10.25</v>
    <v>Communications &amp; Networking</v>
    <v>Aktie</v>
    <v>77.596699999999998</v>
    <v>93</v>
    <v>46128.739933321092</v>
    <v>77586</v>
    <v>Nokia Oyj</v>
    <v>9.94</v>
    <v>Nokia Oyj</v>
    <v>10.07</v>
    <v>10.234999999999999</v>
    <v>9.99</v>
    <v>NOK</v>
    <v>Nokia Oyj (XNYS:NOK)</v>
    <v>1997</v>
    <v>33893009</v>
    <v>71151298</v>
    <v>USD</v>
  </rv>
  <rv s="2">
    <v>94</v>
  </rv>
  <rv s="0">
    <v>https://www.bing.com/financeapi/forcetrigger?t=a1s61h&amp;q=XNAS%3aERIC&amp;form=skydnc</v>
    <v>Learn more on Bing</v>
  </rv>
  <rv s="1">
    <v>de-DE</v>
    <v>a1s61h</v>
    <v>268435456</v>
    <v>1</v>
    <v>Unterstützt von Refinitiv</v>
    <v>0</v>
    <v>1</v>
    <v>Telefonaktiebolaget LM Ericsson (XNAS:ERIC)</v>
    <v>3</v>
    <v>4</v>
    <v>Finance</v>
    <v>5</v>
    <v>12.12</v>
    <v>7.1550000000000002</v>
    <v>0.185</v>
    <v>1.5585999999999999E-2</v>
    <v>3371352000</v>
    <v>Telefonaktiebolaget LM Ericsson ist ein in Schweden ansässiges Telekommunikationsunternehmen. Das Unternehmen bietet Hardware, Software und Dienstleistungen an, welche die Entwicklung im Bereich Mobilität, Breitband und Cloud antreibt, indem es Ökosysteme in verschiedenen Industriezweigen schafft. Ericssons Kerngeschäfte sind Radio, Kern und Übertragung und Telekommunikationsdienstleistungen. Ericsson operiert durch drei Geschäftsbereiche: Netzwerke, Globale Dienstleistungen und Supportlösungen. Seine Zielbereiche umfassen Business Supportsysteme (OSS) und Business Supportsysteme (BSS); Fernsehen und Medien, Internet Protocol (IP) und Cloud. Das Netzwerke-Segment liefert Produkte und Lösungen für mobile und stationäre Kommunikation, verschiedene Generationen von Funknetzen, IP und Übertragungsnetze, Kernnetze und Cloud. Das Segment Globale Dienstleistungen liefert Managed Services, produktbegleitende Dienstleistungen, Beratung und Systemintegrationsdienste sowie Rundfunk- und Medien-Dienstleistungen. Der Geschäftsbereich Supportlösungen bietet Software-Suites für Betreiber an.</v>
    <v>0.92620000000000002</v>
    <v>40641648360</v>
    <v>Nasdaq Stock Market</v>
    <v>XNAS</v>
    <v>XNAS</v>
    <v>Torshamnsgatan 21, STOCKHOLM, STOCKHOLM, 164 83 SE</v>
    <v>12.12</v>
    <v>Communications &amp; Networking</v>
    <v>Aktie</v>
    <v>13.025399999999999</v>
    <v>96</v>
    <v>46128.73995770781</v>
    <v>88027</v>
    <v>Telefonaktiebolaget LM Ericsson</v>
    <v>11.824999999999999</v>
    <v>Telefonaktiebolaget LM Ericsson</v>
    <v>11.92</v>
    <v>12.055</v>
    <v>11.87</v>
    <v>ERIC</v>
    <v>Telefonaktiebolaget LM Ericsson (XNAS:ERIC)</v>
    <v>1918</v>
    <v>9114046</v>
    <v>10027882</v>
    <v>USD</v>
  </rv>
  <rv s="2">
    <v>97</v>
  </rv>
  <rv s="0">
    <v>https://www.bing.com/financeapi/forcetrigger?t=a1zgm7&amp;q=XNAS%3aPANW&amp;form=skydnc</v>
    <v>Learn more on Bing</v>
  </rv>
  <rv s="1">
    <v>de-DE</v>
    <v>a1zgm7</v>
    <v>268435456</v>
    <v>1</v>
    <v>Unterstützt von Refinitiv</v>
    <v>0</v>
    <v>1</v>
    <v>PALO ALTO NETWORKS, INC. (XNAS:PANW)</v>
    <v>3</v>
    <v>4</v>
    <v>Finance</v>
    <v>5</v>
    <v>223.61</v>
    <v>139.57060000000001</v>
    <v>2.5299999999999998</v>
    <v>1.5416000000000001E-2</v>
    <v>811000000</v>
    <v>Palo Alto Networks, Inc. Bietet umfassende Sicherheitslösungen auf Basis künstlicher Intelligenz (KI) für Netzwerk, Cloud, Sicherheitsvorgänge und KI. Das Unternehmen konzentriert sich auf vier Bereiche: Netzwerksicherheit, Cloud-Sicherheit, Security Operations und Threat Intelligence and Advisory Services (Einheit 42). Die Netzwerksicherheitsplattform umfasst ML-basierte Firewalls, AI Runtime Security und ein SASE-Framework (Secure Access Service Edge), das Prisma Access, Prisma SD-WAN und Prisma Access Browser umfasst, um Remote-Mitarbeiter und Zweigstellen zu schützen. Die Cloud-Sicherheit wird über Prisma Cloud bereitgestellt, eine Code-to-Cloud-Plattform, die Anwendungen, Daten, GenAI-Umgebungen und den Cloud-nativen Stack während des gesamten Entwicklungslebenszyklus schützt. Der Geschäftsbereich Unit 42 bietet Intelligence-geführte Beratung, Vorfallsreaktion, verwaltete Erkennung und Reaktion sowie Services zur Bedrohungssuche. Prisma ALES ist eine KI-Sicherheitsplattform, die Anwendungen, Agenten, Modelle und Daten schützt.</v>
    <v>0.7228</v>
    <v>135145039999</v>
    <v>Nasdaq Stock Market</v>
    <v>XNAS</v>
    <v>XNAS</v>
    <v>3000 Tannery Way, SANTA CLARA, CA, 95054 US</v>
    <v>170.25</v>
    <v>Software &amp; IT Services</v>
    <v>Aktie</v>
    <v>92.270200000000003</v>
    <v>99</v>
    <v>46128.739950265626</v>
    <v>17027</v>
    <v>PALO ALTO NETWORKS, INC.</v>
    <v>165</v>
    <v>PALO ALTO NETWORKS, INC.</v>
    <v>168.47</v>
    <v>166.64</v>
    <v>164.11</v>
    <v>PANW</v>
    <v>PALO ALTO NETWORKS, INC. (XNAS:PANW)</v>
    <v>2005</v>
    <v>3242192</v>
    <v>8219455</v>
    <v>USD</v>
  </rv>
  <rv s="2">
    <v>100</v>
  </rv>
  <rv s="0">
    <v>https://www.bing.com/financeapi/forcetrigger?t=bq8rqh&amp;q=XNAS%3aCRWD&amp;form=skydnc</v>
    <v>Learn more on Bing</v>
  </rv>
  <rv s="1">
    <v>de-DE</v>
    <v>bq8rqh</v>
    <v>268435456</v>
    <v>1</v>
    <v>Unterstützt von Refinitiv</v>
    <v>0</v>
    <v>1</v>
    <v>CROWDSTRIKE HOLDINGS, INC. (XNAS:CRWD)</v>
    <v>3</v>
    <v>4</v>
    <v>Finance</v>
    <v>5</v>
    <v>566.9</v>
    <v>342.72</v>
    <v>6.66</v>
    <v>1.6198000000000001E-2</v>
    <v>253201000</v>
    <v>CrowdStrike Holdings, Inc. Ist ein weltweit tätiges Unternehmen für Cybersicherheit, das Cloud-basierten Schutz von Endpoints, Cloud-Workloads, Identitäten und Daten bietet. Die Falcon-Plattform wurde speziell für die Konsolidierung der Cybersicherheit entwickelt und wurde speziell entwickelt, um Sicherheitsverletzungen zu verhindern. Die Plattformen erfassen und integrieren Daten aus dem gesamten Unternehmen, einschließlich Endpoints, Cloud-Workloads, Identitäten und Quellen von Drittanbietern. Es bietet 29 Cloud-Module auf seiner Falcon-Plattform über ein SaaS-Abonnement (Software as a Service) an, das mehrere große Märkte abdeckt, darunter Unternehmensendpoint- und Cloud-Workload-Sicherheit, Managed Security Services, Security and Vulnerability Management, IT-Betriebsmanagement (IT), Identitätsschutz, Security Information and Event Management (SIEM) und Protokollmanagement der nächsten Generation, Threat Intelligence Services, Datenschutz, SaaS Security Posture Management, Automatisierung und Reaktion (SOAR) und Workflowautomatisierung auf künstlicher Intelligenz.</v>
    <v>1.0226999999999999</v>
    <v>105792441820</v>
    <v>Nasdaq Stock Market</v>
    <v>XNAS</v>
    <v>XNAS</v>
    <v>206 E. 9TH STREET, SUITE 1400, AUSTIN, TX, 78701 US</v>
    <v>425.77</v>
    <v>Software &amp; IT Services</v>
    <v>Aktie</v>
    <v>0</v>
    <v>102</v>
    <v>46128.739949096875</v>
    <v>10698</v>
    <v>CROWDSTRIKE HOLDINGS, INC.</v>
    <v>411.09</v>
    <v>CROWDSTRIKE HOLDINGS, INC.</v>
    <v>421.83</v>
    <v>417.82</v>
    <v>411.16</v>
    <v>CRWD</v>
    <v>CROWDSTRIKE HOLDINGS, INC. (XNAS:CRWD)</v>
    <v>2011</v>
    <v>1689388</v>
    <v>3778549</v>
    <v>USD</v>
  </rv>
  <rv s="2">
    <v>103</v>
  </rv>
  <rv s="0">
    <v>https://www.bing.com/financeapi/forcetrigger?t=a1tg3m&amp;q=XNAS%3aFTNT&amp;form=skydnc</v>
    <v>Learn more on Bing</v>
  </rv>
  <rv s="1">
    <v>de-DE</v>
    <v>a1tg3m</v>
    <v>268435456</v>
    <v>1</v>
    <v>Unterstützt von Refinitiv</v>
    <v>0</v>
    <v>1</v>
    <v>FORTINET, INC. (XNAS:FTNT)</v>
    <v>3</v>
    <v>4</v>
    <v>Finance</v>
    <v>5</v>
    <v>109.33</v>
    <v>70.12</v>
    <v>2.4300000000000002</v>
    <v>3.0512000000000001E-2</v>
    <v>739923600</v>
    <v>Fortinet, Inc. Engagiert sich im Bereich Cybersicherheit und fördert die Konvergenz von Netzwerk und Sicherheit. Die integrierte Plattform des Unternehmens, Fortinet Security Fabric, umfasst sichere Netzwerke, Unified Secure Access Service Edge (SASE) und künstliche Intelligenz (KI)-gesteuerte Sicherheitsvorgänge (SecOps). Zu den Produkten und Services gehören FortiOS, FortiASIC, FortiCloud, FortiAI, FortiEndpoint, und OT Security. FortiGuard Labs ist eine Organisation für Bedrohungsinformationen und -Forschung im Bereich Cybersicherheit, die sich aus erfahrenen Bedrohungsjägern, Forschern, Analysten, Ingenieuren und Datenwissenschaftlern zusammensetzt, die maschinelles Lernen und KI-Technologien entwickeln und nutzen. FortiGuard und andere Security Services sind eine Suite von KI-basierten Sicherheitsfunktionen, die als Teil der Fortinet Security Fabric integriert sind, um eine koordinierte Erkennung und Durchsetzung über die gesamte Angriffsfläche hinweg zu ermöglichen. Der FortiCare Technical Support Service ist ein technischer Support für jedes Gerät. Es betreibt auch das Fortinet Training Institute.</v>
    <v>0.91910000000000003</v>
    <v>60725529851</v>
    <v>Nasdaq Stock Market</v>
    <v>XNAS</v>
    <v>XNAS</v>
    <v>909 Kifer Road, SUNNYVALE, CA, 94086 US</v>
    <v>82.5</v>
    <v>Software &amp; IT Services</v>
    <v>Aktie</v>
    <v>33.819600000000001</v>
    <v>105</v>
    <v>46128.739928645315</v>
    <v>15109</v>
    <v>FORTINET, INC.</v>
    <v>79.89</v>
    <v>FORTINET, INC.</v>
    <v>79.89</v>
    <v>82.07</v>
    <v>79.64</v>
    <v>FTNT</v>
    <v>FORTINET, INC. (XNAS:FTNT)</v>
    <v>2000</v>
    <v>2547494</v>
    <v>6205635</v>
    <v>USD</v>
  </rv>
  <rv s="2">
    <v>106</v>
  </rv>
  <rv s="0">
    <v>https://www.bing.com/financeapi/forcetrigger?t=azbtyc&amp;q=XNAS%3aZS&amp;form=skydnc</v>
    <v>Learn more on Bing</v>
  </rv>
  <rv s="1">
    <v>de-DE</v>
    <v>azbtyc</v>
    <v>268435456</v>
    <v>1</v>
    <v>Unterstützt von Refinitiv</v>
    <v>0</v>
    <v>1</v>
    <v>ZSCALER, INC. (XNAS:ZS)</v>
    <v>3</v>
    <v>4</v>
    <v>Finance</v>
    <v>5</v>
    <v>336.99</v>
    <v>114.625</v>
    <v>3.395</v>
    <v>2.5914000000000003E-2</v>
    <v>160790700</v>
    <v>Zscaler, Inc. Ist ein Unternehmen für Cloud-Sicherheit. Das Unternehmen hat eine Plattform entwickelt, die wichtige Sicherheitsfunktionen enthält, die erforderlich sind, um einen schnellen und sicheren Zugriff auf Cloud-Ressourcen basierend auf Identität, Kontext und Unternehmensrichtlinien zu ermöglichen. Die Zscaler Zero Trust Exchange-Plattform schützt Tausende von Kunden vor Cyberangriffen und Datenverlust, indem sie Benutzer, Geräte und Anwendungen an jedem beliebigen Ort sicher miteinander verbindet. Die Lösung ist eine speziell entwickelte, mandantenfähige, verteilte Cloud-Plattform, die die Sicherheitsfunktionen umfasst, die erforderlich sind, um Benutzern, Anwendungen und Geräten die sichere und effiziente Nutzung autorisierter Anwendungen und Services basierend auf den Geschäftsrichtlinien eines Unternehmens zu ermöglichen. Das Unternehmen stellt seine Lösungen mithilfe eines SaaS-Geschäftsmodells (Software as a Service) bereit und verkauft Abonnements für den Zugriff auf seine Cloud-Plattform sowie zugehörige Supportservices an Kunden. Sie bietet eine Sicherheitsplattform, die ihre Plattform mit automatisierten Sicherheitsvorgängen kombiniert.</v>
    <v>1.0182</v>
    <v>21611074033</v>
    <v>Nasdaq Stock Market</v>
    <v>XNAS</v>
    <v>XNAS</v>
    <v>120 Holger Way, SAN JOSE, CA, 95134 US</v>
    <v>138</v>
    <v>Software &amp; IT Services</v>
    <v>Aktie</v>
    <v>0</v>
    <v>108</v>
    <v>46128.739945381247</v>
    <v>7923</v>
    <v>ZSCALER, INC.</v>
    <v>132.79</v>
    <v>ZSCALER, INC.</v>
    <v>134.96</v>
    <v>134.405</v>
    <v>131.01</v>
    <v>ZS</v>
    <v>ZSCALER, INC. (XNAS:ZS)</v>
    <v>2007</v>
    <v>1881814</v>
    <v>2897743</v>
    <v>USD</v>
  </rv>
  <rv s="2">
    <v>109</v>
  </rv>
  <rv s="0">
    <v>https://www.bing.com/financeapi/forcetrigger?t=a1z6qh&amp;q=XNAS%3aOKTA&amp;form=skydnc</v>
    <v>Learn more on Bing</v>
  </rv>
  <rv s="1">
    <v>de-DE</v>
    <v>a1z6qh</v>
    <v>268435456</v>
    <v>1</v>
    <v>Unterstützt von Refinitiv</v>
    <v>0</v>
    <v>1</v>
    <v>OKTA, INC. (XNAS:OKTA)</v>
    <v>3</v>
    <v>4</v>
    <v>Finance</v>
    <v>5</v>
    <v>127.56699999999999</v>
    <v>62.66</v>
    <v>4.5</v>
    <v>6.6814999999999999E-2</v>
    <v>176887900</v>
    <v>Okta, Inc. Ist ein unabhängiger Identitätspartner. Die Okta-Plattform und die Auth ()-Plattform des Unternehmens ermöglichen es seinen Kunden, die richtigen Personen zum richtigen Zeitpunkt sicher mit den richtigen Technologien und Services zu verbinden. Es bietet unabhängige und neutrale Cloud-basierte Identitätslösungen, die es Kunden ermöglichen, sich in nahezu jede Anwendung, jeden Service oder jede Cloud zu integrieren, die sie über ihre Plattformen wählen. Unternehmen nutzen die Identitätsplattform des Unternehmens, um mit ihren Partnern zusammenzuarbeiten und ihren Kunden sichere Erlebnisse in der Cloud und über mobile Geräte zu bieten. Entwickler nutzen Workforce Identity Cloud und Customer Identity Cloud, powered by Auth (), um die Identität sicher und effizient in die von ihnen entwickelte Software einzubetten und so Innovationen zu entwickeln und sich auf ihre Kernaufgaben zu konzentrieren. Die Okta-Plattform ermöglicht es ihren Kunden, den Zugriff auf ihr gesamtes Ökosystem aus Mitarbeitern, Auftragnehmern und Partnern zu automatisieren und zu sichern, wodurch die Zusammenarbeit zwischen ihren Mitarbeitern verbessert wird.</v>
    <v>0.58260000000000001</v>
    <v>12709395614</v>
    <v>Nasdaq Stock Market</v>
    <v>XNAS</v>
    <v>XNAS</v>
    <v>100 First Street, SAN FRANCISCO, CA, 94105 US</v>
    <v>72.899900000000002</v>
    <v>Software &amp; IT Services</v>
    <v>Aktie</v>
    <v>67.578999999999994</v>
    <v>111</v>
    <v>46128.739910404685</v>
    <v>6366</v>
    <v>OKTA, INC.</v>
    <v>70.239999999999995</v>
    <v>OKTA, INC.</v>
    <v>71.099999999999994</v>
    <v>71.849999999999994</v>
    <v>67.349999999999994</v>
    <v>OKTA</v>
    <v>OKTA, INC. (XNAS:OKTA)</v>
    <v>2010</v>
    <v>3181556</v>
    <v>3835490</v>
    <v>USD</v>
  </rv>
  <rv s="2">
    <v>112</v>
  </rv>
  <rv s="0">
    <v>https://www.bing.com/financeapi/forcetrigger?t=brh6oc&amp;q=XNYS%3aNET&amp;form=skydnc</v>
    <v>Learn more on Bing</v>
  </rv>
  <rv s="7">
    <v>de-DE</v>
    <v>brh6oc</v>
    <v>268435456</v>
    <v>1</v>
    <v>Unterstützt von Refinitiv</v>
    <v>20</v>
    <v>21</v>
    <v>CLOUDFLARE, INC. (XNYS:NET)</v>
    <v>3</v>
    <v>22</v>
    <v>Finance</v>
    <v>5</v>
    <v>260</v>
    <v>100.25</v>
    <v>7.58</v>
    <v>3.9867E-2</v>
    <v>351980300</v>
    <v>Cloudflare, Inc. Ist ein Konnektivitäts-Cloud-Unternehmen. Die vollständige Produktpalette besteht aus Website- und Anwendungsservices, um Sicherheit, Leistung und Zuverlässigkeit für Websites, Anwendungen und APIs (Application Programming Interfaces) eines Unternehmens zu bieten; die SASE-Plattform (Secure Access Service Edge), die eine Suite von Zero Trust- und Network Services-Lösungen enthält, um sicherzustellen, dass der Datenverkehr in und aus dem internen Netzwerk und den Geräten eines Unternehmens überprüft und autorisiert wird, sowie die sichere Verbindung von Rechenzentren, Cloud-Diensten und Zweigstellen mit der Connectivity Cloud, den entwicklerbasierten Lösungen zur Erstellung und Bereitstellung serverloser Anwendungen mit Skalierbarkeit, Leistung, Sicherheit und Zuverlässigkeit sowie den Angeboten für Verbraucher. Die Produktangebote für Website- und Anwendungssicherheit umfassen Web Application Firewall, Bot Management, Distributed Denial of Service Protection, API-Sicherheit, SSL/TLS-Verschlüsselung, Skriptverwaltung und Security Center.</v>
    <v>1.7069000000000001</v>
    <v>69590025113</v>
    <v>New York Stock Exchange</v>
    <v>XNYS</v>
    <v>XNYS</v>
    <v>101 Townsend St, SAN FRANCISCO, CA, 94107-1934 US</v>
    <v>203.72499999999999</v>
    <v>Software &amp; IT Services</v>
    <v>Aktie</v>
    <v>114</v>
    <v>46128.739881550784</v>
    <v>5156</v>
    <v>CLOUDFLARE, INC.</v>
    <v>191.50229999999999</v>
    <v>CLOUDFLARE, INC.</v>
    <v>194.5</v>
    <v>197.71</v>
    <v>190.13</v>
    <v>NET</v>
    <v>CLOUDFLARE, INC. (XNYS:NET)</v>
    <v>2009</v>
    <v>3542331</v>
    <v>4484810</v>
    <v>USD</v>
  </rv>
  <rv s="2">
    <v>115</v>
  </rv>
  <rv s="0">
    <v>https://www.bing.com/financeapi/forcetrigger?t=a1ye2w&amp;q=XNYS%3aNEE&amp;form=skydnc</v>
    <v>Learn more on Bing</v>
  </rv>
  <rv s="1">
    <v>de-DE</v>
    <v>a1ye2w</v>
    <v>268435456</v>
    <v>1</v>
    <v>Unterstützt von Refinitiv</v>
    <v>0</v>
    <v>1</v>
    <v>NEXTERA ENERGY, INC. (XNYS:NEE)</v>
    <v>3</v>
    <v>4</v>
    <v>Finance</v>
    <v>5</v>
    <v>96.204999999999998</v>
    <v>63.64</v>
    <v>-0.34</v>
    <v>-3.7259999999999997E-3</v>
    <v>2085303000</v>
    <v>NextEra Energy, Inc. ist ein Strom- und Energieinfrastrukturunternehmen. Das Unternehmen ist über seine hundertprozentigen Tochtergesellschaften NextEra Energy Resources, LLC und NextEra Energy Transmission, LLC (zusammen NEER) sowie die Florida Power &amp; Light Company (FPL) tätig. Zu seinen Segmenten gehören NEER und FPL. FPL ist ein preisreguliertes Elektrizitätsversorgungsunternehmen, das in Florida Strom erzeugt, überträgt, verteilt und verkauft. FPL verfügt über eine Nettoerzeugungskapazität von ca. 35.052 Megawatt, über 91.000 Meilen an Übertragungs- und Verteilungsleitungen sowie 921 Umspannwerke. NEER besitzt, entwickelt, baut, verwaltet und betreibt Stromerzeugungsanlagen auf den Energiegroßhandelsmärkten in den USA und Kanada und verfügt über Vermögenswerte und Investitionen in andere Unternehmen mit Fokus auf saubere Energie, wie Batteriespeicher, Erdgaspipelines und erneuerbare Kraftstoffe. FPL besitzt, entwickelt, baut und betreibt preisregulierte Übertragungsanlagen in Nordamerika.</v>
    <v>0.6966</v>
    <v>189554042700</v>
    <v>New York Stock Exchange</v>
    <v>XNYS</v>
    <v>XNYS</v>
    <v>700 Universe Blvd, JUNO BEACH, FL, 33408 US</v>
    <v>91.29</v>
    <v>Electrical Utilities &amp; IPPs</v>
    <v>Aktie</v>
    <v>27.537099999999999</v>
    <v>117</v>
    <v>46128.739892383594</v>
    <v>17400</v>
    <v>NEXTERA ENERGY, INC.</v>
    <v>90.57</v>
    <v>NEXTERA ENERGY, INC.</v>
    <v>91.07</v>
    <v>90.9</v>
    <v>91.24</v>
    <v>NEE</v>
    <v>NEXTERA ENERGY, INC. (XNYS:NEE)</v>
    <v>1984</v>
    <v>3349935</v>
    <v>8720402</v>
    <v>USD</v>
  </rv>
  <rv s="2">
    <v>118</v>
  </rv>
  <rv s="0">
    <v>https://www.bing.com/financeapi/forcetrigger?t=a1rdzr&amp;q=XNYS%3aDUK&amp;form=skydnc</v>
    <v>Learn more on Bing</v>
  </rv>
  <rv s="1">
    <v>de-DE</v>
    <v>a1rdzr</v>
    <v>268435456</v>
    <v>1</v>
    <v>Unterstützt von Refinitiv</v>
    <v>0</v>
    <v>1</v>
    <v>DUKE ENERGY CORPORATION (XNYS:DUK)</v>
    <v>3</v>
    <v>4</v>
    <v>Finance</v>
    <v>5</v>
    <v>134.49</v>
    <v>111.22</v>
    <v>-0.1</v>
    <v>-7.8140000000000002E-4</v>
    <v>778117600</v>
    <v>Die Duke Energy Corporation ist eine Energieholdinggesellschaft. Das Unternehmen ist in zwei Segmenten tätig: Energieversorgungsunternehmen und Infrastruktur (EU&amp;I) und Gasversorgungsunternehmen und Infrastruktur (GU&amp;I). Das Segment EU&amp;I betreibt seine Aktivitäten hauptsächlich über die regulierten öffentlichen Versorgungsunternehmen Duke Energy Carolinas, Duke Energy Progress, Duke Energy Florida, Duke Energy Indiana und Duke Energy Ohio. EU&amp;I erbringt Strom im Einzelhandel durch Erzeugung, Übertragung, Verteilung und Verkauf von Strom an Kunden im Südosten und Mittleren Westen der Vereinigten Staaten. Das Segment GU&amp;I betreibt Erdgasaktivitäten hauptsächlich über die regulierten öffentlichen Versorgungsunternehmen Piedmont, Duke Energy Ohio und Duke Energy Kentucky. GU&amp;I bedient Erdgaskunden in Privathaushalten, Gewerbe, Industrie und Stromerzeugung, einschließlich Kunden von Kommunen, die Großhandelskunden sind. Außerdem kauft sie ein vielfältiges Portfolio an Transport- und Speicherdienstleistungen von interstate Pipelines.</v>
    <v>0.41470000000000001</v>
    <v>99505678688</v>
    <v>New York Stock Exchange</v>
    <v>XNYS</v>
    <v>XNYS</v>
    <v>525 South Tryon Street, CHARLOTTE, NC, 28202-1803 US</v>
    <v>129.00710000000001</v>
    <v>Electrical Utilities &amp; IPPs</v>
    <v>Aktie</v>
    <v>20.229700000000001</v>
    <v>120</v>
    <v>46128.739847719531</v>
    <v>26441</v>
    <v>DUKE ENERGY CORPORATION</v>
    <v>127.12</v>
    <v>DUKE ENERGY CORPORATION</v>
    <v>127.9</v>
    <v>127.88</v>
    <v>127.98</v>
    <v>DUK</v>
    <v>DUKE ENERGY CORPORATION (XNYS:DUK)</v>
    <v>2005</v>
    <v>1387429</v>
    <v>4088077</v>
    <v>USD</v>
  </rv>
  <rv s="2">
    <v>121</v>
  </rv>
  <rv s="0">
    <v>https://www.bing.com/financeapi/forcetrigger?t=a23a5r&amp;q=XNYS%3aSO&amp;form=skydnc</v>
    <v>Learn more on Bing</v>
  </rv>
  <rv s="1">
    <v>de-DE</v>
    <v>a23a5r</v>
    <v>268435456</v>
    <v>1</v>
    <v>Unterstützt von Refinitiv</v>
    <v>0</v>
    <v>1</v>
    <v>THE SOUTHERN COMPANY (XNYS:SO)</v>
    <v>3</v>
    <v>4</v>
    <v>Finance</v>
    <v>5</v>
    <v>100.83499999999999</v>
    <v>83.09</v>
    <v>-0.14000000000000001</v>
    <v>-1.4790000000000001E-3</v>
    <v>1127304000</v>
    <v>Die Southern Company ist ein Energieversorger. Das Unternehmen besitzt drei traditionelle Elektrizitätsunternehmen, Southern Power Company und Southern Company Gas. Die traditionellen Stromversorgungsunternehmen Alabama Power, Georgia Power und Mississippi Power betreiben öffentliche Versorgungsunternehmen, die Einzelhandelskunden in drei südöstlichen bundesstaaten sowie Großhandelskunden im Südosten mit Strom versorgen. Die Southern Power Company entwickelt, baut, erwirbt, besitzt und verwaltet Stromerzeugungsanlagen, einschließlich Projekte für erneuerbare Energien, und verkauft Strom zu marktüblichen Preisen auf dem Großhandelsmarkt. Die Southern Company Gas ist eine Energiedienstleistungsgesellschaft, deren Hauptgeschäft die Verteilung von Erdgas in vier bundesstaaten ist - Illinois, Georgia, Virginia und Tennessee. Southern Company Gas ist auch an mehreren anderen Geschäftsbereichen beteiligt, die die Verteilung von Erdgas ergänzen.</v>
    <v>0.3609</v>
    <v>106530228000</v>
    <v>New York Stock Exchange</v>
    <v>XNYS</v>
    <v>XNYS</v>
    <v>30 Ivan Allen Jr. Blvd., N.W., ATLANTA, GA, 30308 US</v>
    <v>95.27</v>
    <v>Electrical Utilities &amp; IPPs</v>
    <v>Aktie</v>
    <v>24.125599999999999</v>
    <v>123</v>
    <v>46128.739934721874</v>
    <v>29800</v>
    <v>THE SOUTHERN COMPANY</v>
    <v>93.9</v>
    <v>THE SOUTHERN COMPANY</v>
    <v>94.35</v>
    <v>94.5</v>
    <v>94.64</v>
    <v>SO</v>
    <v>THE SOUTHERN COMPANY (XNYS:SO)</v>
    <v>1945</v>
    <v>1424795</v>
    <v>5108128</v>
    <v>USD</v>
  </rv>
  <rv s="2">
    <v>124</v>
  </rv>
  <rv s="0">
    <v>https://www.bing.com/financeapi/forcetrigger?t=a1shjc&amp;q=XNAS%3aEXC&amp;form=skydnc</v>
    <v>Learn more on Bing</v>
  </rv>
  <rv s="1">
    <v>de-DE</v>
    <v>a1shjc</v>
    <v>268435456</v>
    <v>1</v>
    <v>Unterstützt von Refinitiv</v>
    <v>0</v>
    <v>1</v>
    <v>EXELON CORPORATION (XNAS:EXC)</v>
    <v>3</v>
    <v>4</v>
    <v>Finance</v>
    <v>5</v>
    <v>50.65</v>
    <v>41.704999999999998</v>
    <v>-0.57499999999999996</v>
    <v>-1.2009000000000001E-2</v>
    <v>1023175000</v>
    <v>Exelon Corporation ist eine Holdinggesellschaft für Versorgungsdienstleistungen, die über ihre Tochtergesellschaften Commonwealth Edison Company (ComEd), PECO Energy Company (PECO), Baltimore Gas and Electric Company (BGE), Potomac Electric Power Company (Pepco), Delmarva Power &amp; Light Company (DPL) und Atlantic City Electric Company (ACE) im Bereich der Energieübertragung und -verteilung tätig ist. Zu seinen Segmenten gehören ComEd, PECO, BGE, Pepco, DPL und ACE. Das Segment ComEd befasst sich mit dem Einkauf und der Regulierung des Einzelhandelsverkaufs von Strom. Das Segment PECO befasst sich mit dem Einkauf und der Regulierung des Einzelhandelsverkaufs von Strom und Erdgas. Über seine Tochtergesellschaft Exelon Business Services Company, LLC (BSC), bietet das Unternehmen seinen Tochtergesellschaften eine Reihe von Unterstützungsleistungen zum Selbstkostenpreis an, darunter Dienstleistungen in den Bereichen Recht, Personalwesen, Finanzen, Informationstechnologie und Liefermanagement. Das Segment BGE konzentriert sich auf die Übertragung und Verteilung von Strom und die Verteilung von Erdgas an Privatkunden.</v>
    <v>0.36670000000000003</v>
    <v>48401293375</v>
    <v>Nasdaq Stock Market</v>
    <v>XNAS</v>
    <v>XNAS</v>
    <v>10 S. Dearborn Street, Po Box 805379, CHICAGO, IL, 60680-5379 US</v>
    <v>48.07</v>
    <v>Electrical Utilities &amp; IPPs</v>
    <v>Aktie</v>
    <v>17.2943</v>
    <v>126</v>
    <v>46128.739974628908</v>
    <v>20571</v>
    <v>EXELON CORPORATION</v>
    <v>46.9</v>
    <v>EXELON CORPORATION</v>
    <v>47.66</v>
    <v>47.305</v>
    <v>47.88</v>
    <v>EXC</v>
    <v>EXELON CORPORATION (XNAS:EXC)</v>
    <v>1999</v>
    <v>3990604</v>
    <v>7746563</v>
    <v>USD</v>
  </rv>
  <rv s="2">
    <v>127</v>
  </rv>
  <rv s="0">
    <v>https://www.bing.com/financeapi/forcetrigger?t=a1mybh&amp;q=XNAS%3aAEP&amp;form=skydnc</v>
    <v>Learn more on Bing</v>
  </rv>
  <rv s="1">
    <v>de-DE</v>
    <v>a1mybh</v>
    <v>268435456</v>
    <v>1</v>
    <v>Unterstützt von Refinitiv</v>
    <v>0</v>
    <v>1</v>
    <v>AMERICAN ELECTRIC POWER COMPANY, INC. (XNAS:AEP)</v>
    <v>3</v>
    <v>4</v>
    <v>Finance</v>
    <v>5</v>
    <v>137.74</v>
    <v>97.46</v>
    <v>-0.76500000000000001</v>
    <v>-5.692E-3</v>
    <v>543563500</v>
    <v>American Electric Power Company, Inc. ist eine Holdinggesellschaft für öffentliche Elektrizitätswerke. Ihre Stromversorgungsunternehmen erbringen Erzeugungs-, Übertragungs- und Verteilungsdienstleistungen für mehr als fünf Millionen Einzelhandelskunden in Arkansas, Indiana, Kentucky, Louisiana, Michigan, Ohio, Oklahoma, Tennessee, Texas, Virginia und West Virginia. Zu seinen Segmenten gehören Vertically Integrated Utilities, Transmission and Distribution Utilities, AEP Transmission Holdco und Generation &amp; Marketing. Das Segment Vertically Integrated Utilities befasst sich mit der Erzeugung, Übertragung und Verteilung von Strom für den Verkauf an Einzel- und Großhandelskunden. Der Bereich Transmission and Distribution Utilities umfasst die Übertragung und Verteilung von Strom für den Verkauf an Einzel- und Großhandelskunden. Die AEP Transmission Holdco befasst sich mit der Entwicklung, dem Bau und dem Betrieb von Übertragungseinrichtungen. Das Segment Erzeugung &amp; Marketing umfasst die Bereiche Marketing, Risikomanagement und Einzelhandel.</v>
    <v>0.55310000000000004</v>
    <v>72633672687</v>
    <v>Nasdaq Stock Market</v>
    <v>XNAS</v>
    <v>XNAS</v>
    <v>1 Riverside Plz, COLUMBUS, OH, 43215-2355 US</v>
    <v>135.16</v>
    <v>Electrical Utilities &amp; IPPs</v>
    <v>Aktie</v>
    <v>20.049700000000001</v>
    <v>129</v>
    <v>46128.739828263278</v>
    <v>17581</v>
    <v>AMERICAN ELECTRIC POWER COMPANY, INC.</v>
    <v>133.01499999999999</v>
    <v>AMERICAN ELECTRIC POWER COMPANY, INC.</v>
    <v>133.77000000000001</v>
    <v>133.625</v>
    <v>134.38999999999999</v>
    <v>AEP</v>
    <v>AMERICAN ELECTRIC POWER COMPANY, INC. (XNAS:AEP)</v>
    <v>1925</v>
    <v>824649</v>
    <v>3243786</v>
    <v>USD</v>
  </rv>
  <rv s="2">
    <v>130</v>
  </rv>
  <rv s="0">
    <v>https://www.bing.com/financeapi/forcetrigger?t=ay4lu2&amp;q=XNAS%3aXEL&amp;form=skydnc</v>
    <v>Learn more on Bing</v>
  </rv>
  <rv s="1">
    <v>de-DE</v>
    <v>ay4lu2</v>
    <v>268435456</v>
    <v>1</v>
    <v>Unterstützt von Refinitiv</v>
    <v>0</v>
    <v>1</v>
    <v>Xcel Energy Inc. (XNAS:XEL)</v>
    <v>3</v>
    <v>4</v>
    <v>Finance</v>
    <v>5</v>
    <v>84.23</v>
    <v>65.209999999999994</v>
    <v>1.865</v>
    <v>2.3713000000000001E-2</v>
    <v>624162200</v>
    <v>Xcel Energy Inc. Ist ein Elektrik- und Erdgaslieferant. Das Unternehmen bietet über vier Versorgungsunternehmen NSP-Minnesota, NSP-Wisconsin, PSCo und SPS ein umfassendes Portfolio an energieverbrauchsrelevanten Produkten und Dienstleistungen für rund 3,9 Millionen Stromkunden und 2,2 Millionen Erdgaskunden. Das Unternehmen ist in zwei Segmenten tätig. Das regulierte Stromversorgungssegment erzeugt, kauft, überträgt, verteilt und verkauft Strom in Colorado, Michigan, Minnesota, New Mexico, North Dakota, South Dakota, Texas und Wisconsin. Darüber hinaus umfasst dieses Segment Verkäufe für den Wiederverkauf und erbringt Übertragungsdienste auf Großkundenebene für verschiedene Unternehmen in den Vereinigten Staaten. Das Segment der regulierten Stromversorgungsunternehmen umfasst auch den Großhandel mit Rohstoffen und Handelsgeschäften. Das regulierte Erdgasversorgungssegment kauft, transportiert, lagert, verteilt und verkauft Erdgas hauptsächlich in Teilen von Colorado, Michigan, Minnesota, North Dakota und Wisconsin.</v>
    <v>0.39739999999999998</v>
    <v>50254419533</v>
    <v>Nasdaq Stock Market</v>
    <v>XNAS</v>
    <v>XNAS</v>
    <v>414 Nicollet Mall, MINNEAPOLIS, MN, 55401 US</v>
    <v>80.834999999999994</v>
    <v>Electrical Utilities &amp; IPPs</v>
    <v>Aktie</v>
    <v>23.513500000000001</v>
    <v>132</v>
    <v>46128.739943310153</v>
    <v>11534</v>
    <v>Xcel Energy Inc.</v>
    <v>78.97</v>
    <v>Xcel Energy Inc.</v>
    <v>79.099999999999994</v>
    <v>80.515000000000001</v>
    <v>78.650000000000006</v>
    <v>XEL</v>
    <v>Xcel Energy Inc. (XNAS:XEL)</v>
    <v>1909</v>
    <v>3188472</v>
    <v>4410009</v>
    <v>USD</v>
  </rv>
  <rv s="2">
    <v>133</v>
  </rv>
  <rv s="0">
    <v>https://www.bing.com/financeapi/forcetrigger?t=af9doc&amp;q=XFRA%3aEOAN&amp;form=skydnc</v>
    <v>Learn more on Bing</v>
  </rv>
  <rv s="1">
    <v>de-DE</v>
    <v>af9doc</v>
    <v>268435456</v>
    <v>1</v>
    <v>Unterstützt von Refinitiv</v>
    <v>0</v>
    <v>1</v>
    <v>E.ON SE (XFRA:EOAN)</v>
    <v>3</v>
    <v>6</v>
    <v>Finance</v>
    <v>7</v>
    <v>20.43</v>
    <v>7.3</v>
    <v>-0.19</v>
    <v>-9.7809999999999998E-3</v>
    <v>2641319000</v>
    <v>E.ON SE ist ein in Deutschland ansässiges Energieunternehmen. Das Kerngeschäft des Unternehmens ist in zwei Segmente unterteilt: Energienetze und Kundenlösungen. Das Segment Energienetze umfasst Strom- und Gasverteilnetze und damit verbundene Aktivitäten, die in drei regionale Märkte unterteilt sind: Deutschland, Schweden und Ost-Mitteleuropa/Türkei. Hauptaufgaben sind der Betrieb der Netze, die Wartung, die Instandhaltung und der Ausbau der Netze, einschließlich der Kundenanschlüsse und der Integration erneuerbarer Energien. Das Segment Kundenlösungen konzentriert sich auf die Zusammenarbeit mit Kunden zur Unterstützung der Energiewende in Europa. Es liefert Strom, Gas und Wärme und bietet Lösungen für Energieeffizienz, Autonomie und eMobilität. Das Unternehmen bedient Privatkunden, kleine und mittlere Unternehmen (KMU), Gewerbe- und Industriekunden, Vertriebspartner und öffentliche Einrichtungen an verschiedenen Standorten. Energy Infrastructure Solutions arbeitet auch an der Dekarbonisierung von gewerblichen Kunden, Städten und Gemeinden.</v>
    <v>0.747</v>
    <v>44057200000</v>
    <v>Deutsche Boerse AG</v>
    <v>XFRA</v>
    <v>XFRA</v>
    <v>Bruesseler Platz 1, ESSEN, NORDRHEIN-WESTFALEN, 45131 DE</v>
    <v>19.425000000000001</v>
    <v>Multiline Utilities</v>
    <v>Aktie</v>
    <v>29.143899999999999</v>
    <v>135</v>
    <v>46128.726388888892</v>
    <v>78270</v>
    <v>E.ON SE</v>
    <v>19.204999999999998</v>
    <v>E.ON SE</v>
    <v>19.399999999999999</v>
    <v>19.234999999999999</v>
    <v>19.425000000000001</v>
    <v>EOAN</v>
    <v>E.ON SE (XFRA:EOAN)</v>
    <v>2017</v>
    <v>10440</v>
    <v>3976840</v>
    <v>EUR</v>
  </rv>
  <rv s="2">
    <v>136</v>
  </rv>
  <rv s="0">
    <v>https://www.bing.com/financeapi/forcetrigger?t=a1safr&amp;q=XNYS%3aETN&amp;form=skydnc</v>
    <v>Learn more on Bing</v>
  </rv>
  <rv s="1">
    <v>de-DE</v>
    <v>a1safr</v>
    <v>268435456</v>
    <v>1</v>
    <v>Unterstützt von Refinitiv</v>
    <v>0</v>
    <v>1</v>
    <v>EATON CORPORATION PUBLIC LIMITED COMPANY (XNYS:ETN)</v>
    <v>3</v>
    <v>4</v>
    <v>Finance</v>
    <v>5</v>
    <v>408.45</v>
    <v>255.1</v>
    <v>-2.74</v>
    <v>-6.9360000000000003E-3</v>
    <v>387985400</v>
    <v>Eaton Corporation plc ist ein intelligentes Energiemanagement-Unternehmen. Das Segment Electrical Americas umfasst elektrische Komponenten, industrielle Komponenten, Stromverteiler und Baugruppen, Wohnprodukte, einphasige Netzqualität und -Konnektivität, Verdrahtungsgeräte und andere. Das Segment Electrical Global umfasst elektrische Komponenten, industrielle Komponenten, Stromverteilung und Baugruppen, ein- und dreiphasige Netzqualität sowie Dienstleistungen. Das Segment Luft- und Raumfahrt ist ein globaler Anbieter von Kraftstoff-, Hydraulik- und Pneumatiksystemen für gewerbliche und militärische Zwecke sowie von Filtrationssystemen für industrielle Anwendungen. Das Fahrzeugsegment entwickelt, produziert, vermarktet und liefert Antriebsstrang, Antriebsstrangsysteme und kritische Komponenten. Das Segment eMobility entwickelt, produziert, vermarktet und liefert mechanische, elektrische, und elektronische Komponenten und Systeme. Das Unternehmen ist auch mit der thermischen Überwachung kritischer elektrischer Anlagen befasst.</v>
    <v>1.1821999999999999</v>
    <v>152214432128</v>
    <v>New York Stock Exchange</v>
    <v>XNYS</v>
    <v>XNYS</v>
    <v>EATON HOUSE 30 PEMBROKE ROAD DUBLIN 4, DUBLIN, D04 Y0C2 IE</v>
    <v>395.95499999999998</v>
    <v>Machinery, Equipment &amp; Components</v>
    <v>Aktie</v>
    <v>37.532200000000003</v>
    <v>138</v>
    <v>46128.739875370309</v>
    <v>97000</v>
    <v>EATON CORPORATION PUBLIC LIMITED COMPANY</v>
    <v>387.66</v>
    <v>EATON CORPORATION PUBLIC LIMITED COMPANY</v>
    <v>394.27</v>
    <v>392.32</v>
    <v>395.06</v>
    <v>ETN</v>
    <v>EATON CORPORATION PUBLIC LIMITED COMPANY (XNYS:ETN)</v>
    <v>2012</v>
    <v>853369</v>
    <v>2389890</v>
    <v>USD</v>
  </rv>
  <rv s="2">
    <v>139</v>
  </rv>
  <rv s="0">
    <v>https://www.bing.com/financeapi/forcetrigger?t=b1ldf2&amp;q=XSWX%3aABBN&amp;form=skydnc</v>
    <v>Learn more on Bing</v>
  </rv>
  <rv s="8">
    <v>de-DE</v>
    <v>b1ldf2</v>
    <v>268435456</v>
    <v>1</v>
    <v>Unterstützt von Refinitiv</v>
    <v>23</v>
    <v>24</v>
    <v>ABB Ltd (XSWX:ABBN)</v>
    <v>3</v>
    <v>25</v>
    <v>Finance</v>
    <v>26</v>
    <v>73</v>
    <v>40.74</v>
    <v>0.04</v>
    <v>5.5250000000000004E-4</v>
    <v>1843899000</v>
    <v>ABB AG ist eine Holdinggesellschaft. Zu den Segmenten der Gesellschaft gehören Elektrifizierungsprodukte, Robotik und Antriebe, Industrial Automation, Power Grids, und Unternehmen und Andere. Sie in vier Geschäftsbereichen tätig: Elektrifizierungsprodukte, Robotik und Antriebe, Industrial Automation und Power Grids. Sie bedient den Kunden in Bereichen Versorgungsunternehmen, Industrie und Verkehr und Infrastruktur. Das Segment Elektrifizierungsprodukte produziert und vertreibt Produkte und Dienstleistungen, darunter Nieder- und Mittelspannungsschaltanlage, Leistungsschalter, Schalter und Steuerungsprodukte. Das Segment Robotik und Antriebe produziert und vertreibt Motoren, Generatoren, drehzahlvariable Antriebe, Roboter und Robotik. Das Segment Industrial Automation entwickelt und vertreibt Steuerungs- und Anlagenoptimierungssysteme sowie automationstechnische Produkte und Lösungen. Das Segment Power Grids bietet energie- und automationstechnische Produkte, Systeme, und Service- und Softwarelösungen.</v>
    <v>1.1049</v>
    <v>112749400000</v>
    <v>SIX Swiss Exchange</v>
    <v>XSWX</v>
    <v>XSWX</v>
    <v>Affolternstrasse 44, ZUERICH, ZUERICH, 8050 CH</v>
    <v>73</v>
    <v>Machinery, Equipment &amp; Components</v>
    <v>Aktie</v>
    <v>35.336599999999997</v>
    <v>141</v>
    <v>46128.712766203702</v>
    <v>111900</v>
    <v>ABB Ltd</v>
    <v>72.06</v>
    <v>ABB Ltd</v>
    <v>72.900000000000006</v>
    <v>72.44</v>
    <v>72.900000000000006</v>
    <v>72.400000000000006</v>
    <v>ABBN</v>
    <v>ABB Ltd (XSWX:ABBN)</v>
    <v>1999</v>
    <v>6.3499999999999997E-3</v>
    <v>0.46</v>
    <v>1520108</v>
    <v>2546650</v>
    <v>CHF</v>
  </rv>
  <rv s="2">
    <v>142</v>
  </rv>
  <rv s="0">
    <v>https://www.bing.com/financeapi/forcetrigger?t=a23rrw&amp;q=XNYS%3aSU&amp;form=skydnc</v>
    <v>Learn more on Bing</v>
  </rv>
  <rv s="9">
    <v>de-DE</v>
    <v>a23rrw</v>
    <v>268435456</v>
    <v>1</v>
    <v>Unterstützt von Refinitiv</v>
    <v>27</v>
    <v>28</v>
    <v>SUNCOR ENERGY INC. (XNYS:SU)</v>
    <v>3</v>
    <v>29</v>
    <v>Finance</v>
    <v>5</v>
    <v>67.760000000000005</v>
    <v>33.39</v>
    <v>0.79</v>
    <v>1.2546E-2</v>
    <v>1201267000</v>
    <v>Suncor Energy Inc. Ist ein in Kanada ansässiges integriertes Energieunternehmen. Zu den Segmenten des Unternehmens gehören Ölsande, Exploration und Produktion (E&amp;P) sowie Raffinerie und Marketing. Zu seinen Aktivitäten gehören die Entwicklung, Förderung und Modernisierung von Ölsanden, die Offshore-Ölproduktion, die Erdölraffination in Kanada und den Vereinigten Staaten sowie die Vertriebsnetze für den Einzelhandel und Großhandel von Petro-Canada (einschließlich des kanadischen Electric Highway, eines von Küste zu Küste verlaufenden Netzes von Elektrofahrzeugen (EV)). Das Unternehmen entwickelt Erdölressourcen und fördert gleichzeitig den Übergang zu einer emissionsärmeren Zukunft durch Investitionen in Strom mit geringerer Intensität, erneuerbare Einsatzstoffe und Projekte zur Emissionsintensität. Das Unternehmen betreibt auch Energiehandelsaktivitäten, die sich hauptsächlich auf die Vermarktung und den Handel mit Rohöl, Erdgas, Nebenprodukten, raffinierten Produkten und Strom konzentrieren. Das Fort Hills Project liegt in Albertas Athabasca-Region.</v>
    <v>0.82730000000000004</v>
    <v>80112480000</v>
    <v>New York Stock Exchange</v>
    <v>XNYS</v>
    <v>XNYS</v>
    <v>P.O. Box 2844, 150 - 6Th Avenue S.W., CALGARY, AB, T2P 3E3 CA</v>
    <v>63.895000000000003</v>
    <v>Oil &amp; Gas</v>
    <v>Aktie</v>
    <v>18.0352</v>
    <v>144</v>
    <v>46128.739888008597</v>
    <v>15010</v>
    <v>SUNCOR ENERGY INC.</v>
    <v>63.01</v>
    <v>SUNCOR ENERGY INC.</v>
    <v>63.05</v>
    <v>63.76</v>
    <v>62.97</v>
    <v>SU</v>
    <v>SUNCOR ENERGY INC. (XNYS:SU)</v>
    <v>2546131</v>
    <v>5228361</v>
    <v>USD</v>
  </rv>
  <rv s="2">
    <v>145</v>
  </rv>
  <rv s="0">
    <v>https://www.bing.com/financeapi/forcetrigger?t=aftpzr&amp;q=XETR%3aSIE&amp;form=skydnc</v>
    <v>Learn more on Bing</v>
  </rv>
  <rv s="1">
    <v>de-DE</v>
    <v>aftpzr</v>
    <v>268435456</v>
    <v>1</v>
    <v>Unterstützt von Refinitiv</v>
    <v>0</v>
    <v>1</v>
    <v>Siemens Aktiengesellschaft (XETR:SIE)</v>
    <v>3</v>
    <v>6</v>
    <v>Finance</v>
    <v>7</v>
    <v>275.75</v>
    <v>180.96</v>
    <v>2.2000000000000002</v>
    <v>9.2669999999999992E-3</v>
    <v>782000000</v>
    <v>Die Siemens AG ist ein in Deutschland ansässiges Technologieunternehmen, das sich auf die Bereiche Automatisierung und Digitalisierung in der Prozess- und Fertigungsindustrie, intelligente Infrastruktur für Gebäude und dezentrale Energiesysteme, intelligente Mobilitätslösungen für den Schienenverkehr sowie Medizintechnik und digitale Gesundheitsdienstleistungen konzentriert. Das Unternehmen ist in folgenden Segmenten tätig: Digital Industries, das Produkte und Systemlösungen für die Automatisierung anbietet, die in der diskreten Industrie und in der Prozessindustrie verwendet werden; Smart Infrastructure, die Energiesysteme und Gebäudetechnologien liefert und verbindet; Mobility, die alle Geschäftsbereiche im Bereich des Schienengüterverkehrs und des Schienengüterverkehrs vereint; Siemens Healthineers, das Produkte, Lösungen und Dienstleistungen im Gesundheitswesen anbietet, und Siemens Financial Services (SFS), das Leasinglösungen und -Ausrüstung, Projekt- und strukturierte Finanzierungen in Form von Fremdkapital- und Eigenkapitalinvestitionen anbietet.</v>
    <v>1.4208000000000001</v>
    <v>209400000000</v>
    <v>Xetra</v>
    <v>XETR</v>
    <v>XETR</v>
    <v>Werner-von-Siemens-Strasse 1, MUNICH, BAYERN, 80333 DE</v>
    <v>241.4</v>
    <v>Machinery, Equipment &amp; Components</v>
    <v>Aktie</v>
    <v>23.5945</v>
    <v>147</v>
    <v>46128.729432870372</v>
    <v>317000</v>
    <v>Siemens Aktiengesellschaft</v>
    <v>237.4</v>
    <v>Siemens Aktiengesellschaft</v>
    <v>239.2</v>
    <v>239.6</v>
    <v>237.4</v>
    <v>SIE</v>
    <v>Siemens Aktiengesellschaft (XETR:SIE)</v>
    <v>1996</v>
    <v>1051713</v>
    <v>1479990</v>
    <v>EUR</v>
  </rv>
  <rv s="2">
    <v>148</v>
  </rv>
  <rv s="0">
    <v>https://www.bing.com/financeapi/forcetrigger?t=a1tr1h&amp;q=XNYS%3aGE&amp;form=skydnc</v>
    <v>Learn more on Bing</v>
  </rv>
  <rv s="1">
    <v>de-DE</v>
    <v>a1tr1h</v>
    <v>268435456</v>
    <v>1</v>
    <v>Unterstützt von Refinitiv</v>
    <v>0</v>
    <v>1</v>
    <v>GENERAL ELECTRIC COMPANY (XNYS:GE)</v>
    <v>3</v>
    <v>4</v>
    <v>Finance</v>
    <v>5</v>
    <v>348.48</v>
    <v>176.02</v>
    <v>-13.16</v>
    <v>-4.1919999999999999E-2</v>
    <v>1044830000</v>
    <v>General Electric Company, die unter dem Namen GE Aerospace auftritt, ist ein weltweit tätiges Unternehmen für Luftfahrtantriebe, Dienstleistungen und Systeme. Das Unternehmen verfügt über eine installierte Basis von etwa 45.000 zivilen und 25.000 militärischen Flugzeugtriebwerken. Das Unternehmen ist in zwei Segmenten tätig: Commercial Engines &amp; Services und Defense &amp; Propulsion Technologies. Das Segment Commercial Engines &amp; Services entwirft, entwickelt, fertigt und wartet Düsentriebwerke für zivile Flugzeuge, für die Geschäftsluftfahrt und für abgeleitete Anwendungen. Zu den Dienstleistungen gehören die Wartung, Reparatur und Überholung von Triebwerken sowie der Verkauf von Ersatzteilen, die im Rahmen verschiedener Vereinbarungen angeboten werden. Das Segment Defense &amp; Propulsion Technologies bietet Verteidigungsmotoren und kritische Flugzeugsysteme an und besteht aus den Geschäftsbereichen Defense &amp; Systems und Propulsion &amp; Additive Technologies. Zu seinem Markenportfolio gehören Avio Aero, Unison, Dowty Propellers und Colibrium Additive.</v>
    <v>1.4704999999999999</v>
    <v>314253519100</v>
    <v>New York Stock Exchange</v>
    <v>XNYS</v>
    <v>XNYS</v>
    <v>1 Neumann Way, Evendale, OH, 45215 US</v>
    <v>313.95</v>
    <v>Aerospace &amp; Defense</v>
    <v>Aktie</v>
    <v>37.333500000000001</v>
    <v>150</v>
    <v>46128.739963680469</v>
    <v>57000</v>
    <v>GENERAL ELECTRIC COMPANY</v>
    <v>300.37</v>
    <v>GENERAL ELECTRIC COMPANY</v>
    <v>313.88</v>
    <v>300.77</v>
    <v>313.93</v>
    <v>GE</v>
    <v>GENERAL ELECTRIC COMPANY (XNYS:GE)</v>
    <v>1892</v>
    <v>3365291</v>
    <v>5581781</v>
    <v>USD</v>
  </rv>
  <rv s="2">
    <v>151</v>
  </rv>
  <rv s="0">
    <v>https://www.bing.com/financeapi/forcetrigger?t=a21gh7&amp;q=XNYS%3aPWR&amp;form=skydnc</v>
    <v>Learn more on Bing</v>
  </rv>
  <rv s="1">
    <v>de-DE</v>
    <v>a21gh7</v>
    <v>268435456</v>
    <v>1</v>
    <v>Unterstützt von Refinitiv</v>
    <v>0</v>
    <v>1</v>
    <v>QUANTA SERVICES, INC. (XNYS:PWR)</v>
    <v>3</v>
    <v>4</v>
    <v>Finance</v>
    <v>5</v>
    <v>599</v>
    <v>251.04</v>
    <v>-6.1550000000000002</v>
    <v>-1.04E-2</v>
    <v>150056700</v>
    <v>Quanta Services, Inc. Bietet spezialisierte Infrastrukturlösungen für Versorgungsunternehmen, erneuerbare Energien, Technologie, Kommunikation, Pipeline, und Energiebranchen in den USA, Kanada, Australien und anderen internationalen Märkten. Zu den Segmenten zählen elektrische Infrastrukturlösungen (elektrisch) sowie unterirdische Versorgungslösungen und Infrastrukturlösungen (unterirdisch und infrastrukturell). Electric bietet umfassende Dienstleistungen für die Märkte Strom, erneuerbare Energien, Technologie und Kommunikation. Zu den Dienstleistungen gehören Planung, Beschaffung, Neubau, Modernisierung, Reparatur und Wartung von Stromübertragungs- und -Verteilungsinfrastrukturen, sowohl über- als auch unter-, und Umspannwerke sowie andere technische und technische Dienstleistungen. Underground and Infrastructure bietet umfassende Infrastrukturlösungen für Kunden, die mit Transport, Verteilung, Lagerung, Entwicklung und Verarbeitung von Erdgas, Öl und anderen Produkten befasst sind.</v>
    <v>1.0824</v>
    <v>87882957205</v>
    <v>New York Stock Exchange</v>
    <v>XNYS</v>
    <v>XNYS</v>
    <v>2727 NORTH LOOP WEST, HOUSTON, TX, 77008 US</v>
    <v>591.96</v>
    <v>Construction &amp; Engineering</v>
    <v>Aktie</v>
    <v>86.210899999999995</v>
    <v>153</v>
    <v>46128.739985960157</v>
    <v>69500</v>
    <v>QUANTA SERVICES, INC.</v>
    <v>580.13</v>
    <v>QUANTA SERVICES, INC.</v>
    <v>586.5</v>
    <v>585.66499999999996</v>
    <v>591.82000000000005</v>
    <v>PWR</v>
    <v>QUANTA SERVICES, INC. (XNYS:PWR)</v>
    <v>1997</v>
    <v>375848</v>
    <v>1080706</v>
    <v>USD</v>
  </rv>
  <rv s="2">
    <v>154</v>
  </rv>
  <rv s="0">
    <v>https://www.bing.com/financeapi/forcetrigger?t=a1uyk2&amp;q=XNYS%3aHUBB&amp;form=skydnc</v>
    <v>Learn more on Bing</v>
  </rv>
  <rv s="1">
    <v>de-DE</v>
    <v>a1uyk2</v>
    <v>268435456</v>
    <v>1</v>
    <v>Unterstützt von Refinitiv</v>
    <v>0</v>
    <v>1</v>
    <v>HUBBELL INCORPORATED (XNYS:HUBB)</v>
    <v>3</v>
    <v>4</v>
    <v>Finance</v>
    <v>5</v>
    <v>548.97</v>
    <v>325.08</v>
    <v>-5.28</v>
    <v>-1.0019999999999999E-2</v>
    <v>53024730</v>
    <v>Hubbell Incorporated ist ein weltweit tätiger Hersteller von Elektroprodukten und Versorgungslösungen für eine Reihe von Kunden- und Endmarktanwendungen. Es ist in zwei Segmente tätig: Versorgungslösungen und elektrische Lösungen. Das Segment Utility Solutions besteht aus Unternehmen, die eine Vielzahl von Produkten für elektrische Verteilung, Übertragung, Umspannwerke und Telekommunikation entwickeln, herstellen und verkaufen, die Anwendungen vor dem Messgerät unterstützen. Das Segment Electrical Solutions umfasst Geschäftsbereiche, die Lagerprodukte und kundenspezifische Produkte verkaufen, darunter Standard- und Spezialprodukte für Verdrahtungsgeräte, raue Elektroprodukte, Steckverbinder und Erdungsprodukte sowie andere elektrische Geräte. Das Unternehmen bietet auch eine Vielzahl von Verdrahtungsgeräten und elektrischen Produkten für Wohn- und Versorgungsanwendungen an. Seine Produkte werden entweder vollständig bezogen, hergestellt oder von seinen Tochtergesellschaften montiert.</v>
    <v>1.0033000000000001</v>
    <v>27660880651</v>
    <v>New York Stock Exchange</v>
    <v>XNYS</v>
    <v>XNYS</v>
    <v>40 Waterview Drive, SHELTON, CT, 06484 US</v>
    <v>528.5</v>
    <v>Machinery, Equipment &amp; Components</v>
    <v>Aktie</v>
    <v>31.256599999999999</v>
    <v>156</v>
    <v>46128.739834814063</v>
    <v>18000</v>
    <v>HUBBELL INCORPORATED</v>
    <v>517.83000000000004</v>
    <v>HUBBELL INCORPORATED</v>
    <v>526.20000000000005</v>
    <v>521.66</v>
    <v>526.94000000000005</v>
    <v>HUBB</v>
    <v>HUBBELL INCORPORATED (XNYS:HUBB)</v>
    <v>1905</v>
    <v>235822</v>
    <v>535406</v>
    <v>USD</v>
  </rv>
  <rv s="2">
    <v>157</v>
  </rv>
  <rv s="0">
    <v>https://www.bing.com/financeapi/forcetrigger?t=a1pcnm&amp;q=XNYS%3aCCJ&amp;form=skydnc</v>
    <v>Learn more on Bing</v>
  </rv>
  <rv s="1">
    <v>de-DE</v>
    <v>a1pcnm</v>
    <v>268435456</v>
    <v>1</v>
    <v>Unterstützt von Refinitiv</v>
    <v>0</v>
    <v>1</v>
    <v>CAMECO CORPORATION (XNYS:CCJ)</v>
    <v>3</v>
    <v>30</v>
    <v>Finance</v>
    <v>5</v>
    <v>135.24</v>
    <v>38.975000000000001</v>
    <v>1.4</v>
    <v>1.1754000000000001E-2</v>
    <v>435533000</v>
    <v>Die Cameco Corporation ist ein Anbieter von Uranbrennstoff zur Erzeugung von Grundlaststrom auf der ganzen Welt. Zu den Segmenten gehören Uran, Brennstoffdienstleistungen und Westinghouse. Das Uransegment umfasst die Exploration von Urankonzentrat, den Bergbau, das Fräsen, den Kauf und den Verkauf von Urankonzentrat. Das Segment Kraftstoffdienstleistungen umfasst die Raffination, Umwandlung und Herstellung von Urankonzentrat sowie den Kauf und Verkauf von Umwandlungsdienstleistungen. Das Segment Westinghouse spiegelt seine Erträge aus dieser eigenkapitalbilanzierten Investition wider. Westinghouse ist ein Hersteller von Erstausrüstungen für Kernreaktortechnologie und ein globaler Anbieter von Produkten und Dienstleistungen für gewerbliche Versorgungsunternehmen und Regierungsbehörden. Es bietet Ausfallzeiten und Wartungsdienstleistungen, technischen Support, Instrumentierung und Steuerausrüstung, Anlagenumbau sowie Komponenten und Teile von Kernreaktoren. Es verfügt über zwei in Betrieb befindliche Minen, Cigar Lake und McArthur River sowie eine Mühle am Key Lake. Außerdem hat das Unternehmen Beteiligungen an Global Laser Enrichment.</v>
    <v>1.0215000000000001</v>
    <v>45260589360</v>
    <v>New York Stock Exchange</v>
    <v>XNYS</v>
    <v>XNYS</v>
    <v>2121 11th St W, SASKATOON, SK, S7M 1J3 CA</v>
    <v>122.74</v>
    <v>Uranium</v>
    <v>Aktie</v>
    <v>122.18389999999999</v>
    <v>159</v>
    <v>46128.739917488281</v>
    <v>2424</v>
    <v>CAMECO CORPORATION</v>
    <v>119.59010000000001</v>
    <v>CAMECO CORPORATION</v>
    <v>121.33</v>
    <v>120.51</v>
    <v>119.11</v>
    <v>CCJ</v>
    <v>CAMECO CORPORATION (XNYS:CCJ)</v>
    <v>1997</v>
    <v>1897112</v>
    <v>3196443</v>
    <v>USD</v>
  </rv>
  <rv s="2">
    <v>160</v>
  </rv>
  <rv s="0">
    <v>https://www.bing.com/financeapi/forcetrigger?t=a1p252&amp;q=XNYS%3aBWXT&amp;form=skydnc</v>
    <v>Learn more on Bing</v>
  </rv>
  <rv s="1">
    <v>de-DE</v>
    <v>a1p252</v>
    <v>268435456</v>
    <v>1</v>
    <v>Unterstützt von Refinitiv</v>
    <v>0</v>
    <v>1</v>
    <v>BWX TECHNOLOGIES, INC. (XNYS:BWXT)</v>
    <v>3</v>
    <v>4</v>
    <v>Finance</v>
    <v>5</v>
    <v>241.82</v>
    <v>99.63</v>
    <v>-6</v>
    <v>-2.5166000000000001E-2</v>
    <v>91611920</v>
    <v>BWX Technologies, Inc. ist ein Spezialhersteller von Nuklearkomponenten, ein Entwickler von Nukleartechnologien und ein Dienstleister. Das Unternehmen bietet außerdem spezielle Dienstleistungen, Produkte und Dienstleistungen zur Verarbeitung von Nuklearmaterial sowie zur Sanierung von Umweltstandorten an. Das Segment „Government Operations“ stellt Marine-Kernreaktoren einschließlich zugehöriger Kernbrennstoffe für das United States Naval Nuclear Propulsion Program für den Einsatz in U-Booten und Flugzeugträgern her. Darüber hinaus werden kraftstoffführende Präzisionskomponenten mit einem Gewicht von wenigen Gramm bis zu Hunderten von Tonnen hergestellt, elektromechanische Geräte hergestellt und Konstruktions-, Fertigungs-, Inspektions-, Montage- und Testaktivitäten durchgeführt. Das Unternehmen ist außerdem ein Anbieter von fortschrittlichen Spezialmaterialien, der Fertigung und der Herstellung hochfester Legierungen. Das Segment Commercial Operations entwickelt und fertigt kommerzielle Kerndampferzeuger, Wärmetauscher, Druckbehälter, Reaktorkomponenten und andere Hilfsgeräte.</v>
    <v>0.86099999999999999</v>
    <v>21292442446</v>
    <v>New York Stock Exchange</v>
    <v>XNYS</v>
    <v>XNYS</v>
    <v>800 Main Street, 4Th Floor, LYNCHBURG, VA, 24504 US</v>
    <v>241.82</v>
    <v>Aerospace &amp; Defense</v>
    <v>Aktie</v>
    <v>64.907300000000006</v>
    <v>162</v>
    <v>46128.739949675779</v>
    <v>10400</v>
    <v>BWX TECHNOLOGIES, INC.</v>
    <v>231.15</v>
    <v>BWX TECHNOLOGIES, INC.</v>
    <v>240.67</v>
    <v>232.42</v>
    <v>238.42</v>
    <v>BWXT</v>
    <v>BWX TECHNOLOGIES, INC. (XNYS:BWXT)</v>
    <v>2010</v>
    <v>465084</v>
    <v>1035878</v>
    <v>USD</v>
  </rv>
  <rv s="2">
    <v>163</v>
  </rv>
  <rv s="0">
    <v>https://www.bing.com/financeapi/forcetrigger?t=bx1rdm&amp;q=XNYS%3aSMR&amp;form=skydnc</v>
    <v>Learn more on Bing</v>
  </rv>
  <rv s="7">
    <v>de-DE</v>
    <v>bx1rdm</v>
    <v>268435456</v>
    <v>1</v>
    <v>Unterstützt von Refinitiv</v>
    <v>20</v>
    <v>21</v>
    <v>Nuscale Power (XNYS:SMR)</v>
    <v>3</v>
    <v>22</v>
    <v>Finance</v>
    <v>5</v>
    <v>57.42</v>
    <v>8.85</v>
    <v>-0.115</v>
    <v>-9.8209999999999999E-3</v>
    <v>338016300</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2.2732999999999999</v>
    <v>3919298998</v>
    <v>New York Stock Exchange</v>
    <v>XNYS</v>
    <v>XNYS</v>
    <v>1100 Ne Circle Blvd., Suite 350, CORVALLIS, OR, 97330 US</v>
    <v>12.42</v>
    <v>Electrical Utilities &amp; IPPs</v>
    <v>Aktie</v>
    <v>165</v>
    <v>46128.739952592186</v>
    <v>428</v>
    <v>Nuscale Power</v>
    <v>11.03</v>
    <v>Nuscale Power</v>
    <v>12.41</v>
    <v>11.595000000000001</v>
    <v>11.71</v>
    <v>SMR</v>
    <v>Nuscale Power (XNYS:SMR)</v>
    <v>2022</v>
    <v>52556527</v>
    <v>23361106</v>
    <v>USD</v>
  </rv>
  <rv s="2">
    <v>166</v>
  </rv>
  <rv s="0">
    <v>https://www.bing.com/financeapi/forcetrigger?t=a24tlh&amp;q=XNYS%3aUEC&amp;form=skydnc</v>
    <v>Learn more on Bing</v>
  </rv>
  <rv s="1">
    <v>de-DE</v>
    <v>a24tlh</v>
    <v>268435456</v>
    <v>1</v>
    <v>Unterstützt von Refinitiv</v>
    <v>0</v>
    <v>1</v>
    <v>URANIUM ENERGY CORP. (XNYS:UEC)</v>
    <v>3</v>
    <v>4</v>
    <v>Finance</v>
    <v>5</v>
    <v>20.34</v>
    <v>4.5800999999999998</v>
    <v>0.34</v>
    <v>2.2942000000000001E-2</v>
    <v>490220800</v>
    <v>Uranium Energy Corp ist ein Lieferant von Uran zur Erzeugung von Kernenergie. Das Unternehmen fördert die in-situ-Gewinnung (ISR) in den USA und die hochgradigen konventionellen Projekte in Kanada. Es verfügt über drei ISR-Hub-and-Spoke-Plattformen in Südtexas und Wyoming. Diese Produktionsplattformen sind in lizenzierten zentralen Verarbeitungsbetrieben verankert, die von einer Pipeline von Satelliten-ISR-Projekten bedient werden sollen, darunter sieben, die bereits über entsprechende Genehmigungen verfügen. Darüber hinaus hat das Unternehmen Uranbestände diversifiziert, darunter Uranportfolios von U3O8 in den USA, eine Beteiligung an Uranium Royalty Corp. Und eine Pipeline aus Uranprojekten in der westlichen Hemisphäre. Zu den Uranprojekten gehören die Mine Palangana und Christensen Ranch sowie die Projekte Red Desert, Green Mountain, Roughrider und Christie Lake. Die Palangana Mine ist ein 6.969 Hektar großes Grundstück in Duval County, Texas, etwa 100 Meilen südlich der Hobson Processing Facility.</v>
    <v>1.2071000000000001</v>
    <v>7431747328</v>
    <v>New York Stock Exchange</v>
    <v>XNYS</v>
    <v>XNYS</v>
    <v>1188 West Georgia Street Suite 1830, BC, V6E 4A2 CA</v>
    <v>15.285</v>
    <v>Uranium</v>
    <v>Aktie</v>
    <v>0</v>
    <v>168</v>
    <v>46128.739990150003</v>
    <v>171</v>
    <v>URANIUM ENERGY CORP.</v>
    <v>14.88</v>
    <v>URANIUM ENERGY CORP.</v>
    <v>15.09</v>
    <v>15.16</v>
    <v>14.82</v>
    <v>UEC</v>
    <v>URANIUM ENERGY CORP. (XNYS:UEC)</v>
    <v>2003</v>
    <v>5249080</v>
    <v>9168702</v>
    <v>USD</v>
  </rv>
  <rv s="2">
    <v>169</v>
  </rv>
  <rv s="0">
    <v>https://www.bing.com/financeapi/forcetrigger?t=a1yxkr&amp;q=XNYS%3aNXE&amp;form=skydnc</v>
    <v>Learn more on Bing</v>
  </rv>
  <rv s="1">
    <v>de-DE</v>
    <v>a1yxkr</v>
    <v>268435456</v>
    <v>1</v>
    <v>Unterstützt von Refinitiv</v>
    <v>0</v>
    <v>1</v>
    <v>NEXGEN ENERGY LTD. (XNYS:NXE)</v>
    <v>3</v>
    <v>30</v>
    <v>Finance</v>
    <v>5</v>
    <v>13.96</v>
    <v>4.3899999999999997</v>
    <v>0.39</v>
    <v>3.1732999999999997E-2</v>
    <v>607911200</v>
    <v>NexGen Energy Ltd. Ist ein kanadisches Unternehmen, das sich auf die Lieferung sauberer Kraftstoffe für die Zukunft konzentriert. Das Unternehmen beteiligt sich an der Übernahme, Exploration, Evaluierung und Erschließung von Urankonzessionen in Kanada. Es konzentriert sich auf die optimale Entwicklung des Rook I-Projekts. Das Unternehmen verfügt über ein Portfolio von hochgradig aussichtsreichen Projekten, einschließlich des zu 100 % im Besitz befindlichen Konzessionsgebiets Rook I, das die hochgradige Arrow-Lagerstätte, South Arrow, Harpoon, Bow und das Gebiet Cannon beherbergt. Das Rook I-Projekt ist ein Uranprojekt in Kanada. Die neue unterirdische Mine- und Mühlenentwicklung befindet sich im uranreichen Bezirk des südwestlichen Bereichs des Athabasca Basin in Saskatchewan. Arrow ist eine zu 100 % landgestützte Entdeckung mit hochgradigem Uran im Keller. Das Rook I-Projekt, Gastgeber der Arrow-Lagerstätte, die ein Uranprojekt in der Entwicklungsphase in Kanada ist und zu 100 % im Besitz von NexGen Energy Ltd. Ist Das Rook I-Grundstück beherbergt die Harpoon Discovery, die 4,7 km nordöstlich der Arrow Deponie liegt.</v>
    <v>1.6782999999999999</v>
    <v>9453020000</v>
    <v>New York Stock Exchange</v>
    <v>XNYS</v>
    <v>XNYS</v>
    <v>3150 - 1021 West Hastings Street, VANCOUVER, BC, V6E 0C3 CA</v>
    <v>12.76</v>
    <v>Uranium</v>
    <v>Aktie</v>
    <v>0</v>
    <v>171</v>
    <v>46128.739817256253</v>
    <v>142</v>
    <v>NEXGEN ENERGY LTD.</v>
    <v>12.414999999999999</v>
    <v>NEXGEN ENERGY LTD.</v>
    <v>12.48</v>
    <v>12.68</v>
    <v>12.29</v>
    <v>NXE</v>
    <v>NEXGEN ENERGY LTD. (XNYS:NXE)</v>
    <v>2013</v>
    <v>2876294</v>
    <v>7405520</v>
    <v>USD</v>
  </rv>
  <rv s="2">
    <v>172</v>
  </rv>
  <rv s="0">
    <v>https://www.bing.com/financeapi/forcetrigger?t=a1r7k2&amp;q=XNYS%3aDNN&amp;form=skydnc</v>
    <v>Learn more on Bing</v>
  </rv>
  <rv s="7">
    <v>de-DE</v>
    <v>a1r7k2</v>
    <v>268435456</v>
    <v>1</v>
    <v>Unterstützt von Refinitiv</v>
    <v>20</v>
    <v>21</v>
    <v>DENISON MINES CORP. (XNYS:DNN)</v>
    <v>3</v>
    <v>31</v>
    <v>Finance</v>
    <v>5</v>
    <v>4.43</v>
    <v>1.24</v>
    <v>0.10050000000000001</v>
    <v>2.5901999999999998E-2</v>
    <v>904015900</v>
    <v>Denison Mines Corp. Ist ein kanadisches Uranexplorations- und -Erschließungsunternehmen, das sich auf das Athabasca-Becken im Norden von Saskatchewan (Kanada) konzentriert. Das Unternehmen hält eine 95%ige Beteiligung am Projekt Wheeler River, einem Uranprojekt. Es beherbergt zwei Uranlagerstätten: Phoenix und Gryphon. Sie liegt am östlichen Rand des Athabasca-Beckens im Norden von Saskatchewan. Das Unternehmen hält 22,5% der Anteile am McClean Lake Joint Venture (MLJV), das mehrere Uranlagerstätten und die Uranfabrik McClean Lake umfasst. Außerdem hält sie 25,17 % der Anteile an den Vorräten Midwest Main und Midwest A sowie 67 41 % der Vorräte Tthe Heldeth tue (THT) und Huskie auf dem Grundstück Waterbury Lake. Das Unternehmen hält über die JCU (Canada) Exploration Company, Limited indirekte Anteile am Millennium-Projekt, am Kiggavik-Projekt und am Christie Lake-Projekt. Es bietet auch Umweltdienstleistungen an. Das Unternehmen setzt auch MaxPERF Bohrwerkzeugtechnologie und -Systeme ein.</v>
    <v>1.6574</v>
    <v>4181374000</v>
    <v>New York Stock Exchange</v>
    <v>XNYS</v>
    <v>XNYS</v>
    <v>1100-40 University Avenue, ON, M5J 1T1 CA</v>
    <v>4.0199999999999996</v>
    <v>Uranium</v>
    <v>Aktie</v>
    <v>174</v>
    <v>46128.739960728904</v>
    <v>75</v>
    <v>DENISON MINES CORP.</v>
    <v>3.8875999999999999</v>
    <v>DENISON MINES CORP.</v>
    <v>3.94</v>
    <v>3.9805000000000001</v>
    <v>3.88</v>
    <v>DNN</v>
    <v>DENISON MINES CORP. (XNYS:DNN)</v>
    <v>2006</v>
    <v>16678423</v>
    <v>39296518</v>
    <v>USD</v>
  </rv>
  <rv s="2">
    <v>175</v>
  </rv>
  <rv s="0">
    <v>https://www.bing.com/financeapi/forcetrigger?t=a1wuoc&amp;q=XNYS%3aLEU&amp;form=skydnc</v>
    <v>Learn more on Bing</v>
  </rv>
  <rv s="1">
    <v>de-DE</v>
    <v>a1wuoc</v>
    <v>268435456</v>
    <v>1</v>
    <v>Unterstützt von Refinitiv</v>
    <v>0</v>
    <v>1</v>
    <v>CENTRUS ENERGY CORP. (XNYS:LEU)</v>
    <v>3</v>
    <v>4</v>
    <v>Finance</v>
    <v>5</v>
    <v>464.25</v>
    <v>60.52</v>
    <v>3.7850000000000001</v>
    <v>1.9136E-2</v>
    <v>19664560</v>
    <v>Centrus Energy Corp. ist ein Lieferant von Kernbrennstoffkomponenten für die Atomindustrie. Zu seinen Geschäftsbereichen zählen niedrig angereichertes Uran (LEU) und technische Lösungen. Der Geschäftsbereich LEU beliefert gewerbliche Kunden über sein globales Lieferantennetzwerk mit verschiedenen Kernbrennstoffkomponenten. Der Geschäftsbereich LEU besteht aus zwei Komponenten: SWU und natürlichem Uranhexafluorid. LEU und dessen Komponenten werden an nationale und internationale Versorgungsunternehmen zur Verwendung in Kernreaktoren weltweit geliefert. LEU wird aus verschiedenen Quellen bezogen, darunter aus dem eigenen Lagerbestand, über mittel- und langfristige Lieferverträge sowie über Spotkäufe. Darüber hinaus verkauft Centrus Energy natürliches Uranhexafluorid und gelegentlich auch Urankonzentrate. Der Geschäftsbereich Technische Lösungen bietet Kunden aus dem öffentlichen und privaten Sektor fortschrittliche Ingenieur-, Design- und Fertigungsdienstleistungen. Dabei werden Urananreicherung und andere Verfahren eingesetzt, die zur Herstellung von fortschrittlichem Kernbrennstoff für bestehende Reaktoren weltweit erforderlich sind.</v>
    <v>1.4123000000000001</v>
    <v>3963883682</v>
    <v>New York Stock Exchange</v>
    <v>XNYS</v>
    <v>XNYS</v>
    <v>6901 Rockledge Dr, Suite 800, BETHESDA, MD, 20817 US</v>
    <v>210</v>
    <v>Uranium</v>
    <v>Aktie</v>
    <v>48.461399999999998</v>
    <v>177</v>
    <v>46128.739840265625</v>
    <v>300</v>
    <v>CENTRUS ENERGY CORP.</v>
    <v>197.38499999999999</v>
    <v>CENTRUS ENERGY CORP.</v>
    <v>207.04499999999999</v>
    <v>201.57499999999999</v>
    <v>197.79</v>
    <v>LEU</v>
    <v>CENTRUS ENERGY CORP. (XNYS:LEU)</v>
    <v>1998</v>
    <v>679718</v>
    <v>767436</v>
    <v>USD</v>
  </rv>
  <rv s="2">
    <v>178</v>
  </rv>
  <rv s="0">
    <v>https://www.bing.com/financeapi/forcetrigger?t=c2m6c7&amp;q=XNYS%3aALCC&amp;form=skydnc</v>
    <v>Learn more on Bing</v>
  </rv>
  <rv s="1">
    <v>de-DE</v>
    <v>c2m6c7</v>
    <v>268435456</v>
    <v>1</v>
    <v>Unterstützt von Refinitiv</v>
    <v>0</v>
    <v>1</v>
    <v>Oklo (XNYS:OKLO)</v>
    <v>3</v>
    <v>4</v>
    <v>Finance</v>
    <v>5</v>
    <v>193.84</v>
    <v>19.89</v>
    <v>0.25</v>
    <v>3.9459999999999999E-3</v>
    <v>173568800</v>
    <v>Oklo Inc. is an advanced nuclear technology company. The Company is engaged in developing fast fission power plants to provide clean, reliable, and affordable energy at scale. It is developing advanced fuel recycling technologies in collaboration with the United States Department of Energy and United States National Laboratories. It provides 24/7 clean energy to data centers, factories, industrial sites, communities, and defense facilities. It offers heat and power through power purchase agreements. Its powerhouse product line, Aurora, is designed to be inherently safe, to be able to run on fresh or recycled fuel, and to produce 15-50 megawatts electric (MWe) and with the potential to expand powerhouse size to produce 100 MWe of electricity. The Company intends to develop specialized radioisotope production capabilities to address urgent supply shortages in life-saving medical radioisotopes and advanced industrial applications.</v>
    <v>1.0267999999999999</v>
    <v>11038975680</v>
    <v>New York Stock Exchange</v>
    <v>XNYS</v>
    <v>XNYS</v>
    <v>3190 Coronado Dr, SANTA CLARA, CA, 95054 US</v>
    <v>68.760000000000005</v>
    <v>Electrical Utilities &amp; IPPs</v>
    <v>Aktie</v>
    <v>0</v>
    <v>180</v>
    <v>46128.739843726566</v>
    <v>205</v>
    <v>Oklo</v>
    <v>60.81</v>
    <v>Oklo</v>
    <v>67.63</v>
    <v>63.6</v>
    <v>63.35</v>
    <v>OKLO</v>
    <v>Oklo (XNYS:OKLO)</v>
    <v>2021</v>
    <v>14695190</v>
    <v>9247488</v>
    <v>USD</v>
  </rv>
  <rv s="2">
    <v>181</v>
  </rv>
  <rv s="0">
    <v>https://www.bing.com/financeapi/forcetrigger?t=a1rzh7&amp;q=XNAS%3aENPH&amp;form=skydnc</v>
    <v>Learn more on Bing</v>
  </rv>
  <rv s="1">
    <v>de-DE</v>
    <v>a1rzh7</v>
    <v>268435456</v>
    <v>1</v>
    <v>Unterstützt von Refinitiv</v>
    <v>0</v>
    <v>1</v>
    <v>ENPHASE ENERGY, INC. (XNAS:ENPH)</v>
    <v>3</v>
    <v>4</v>
    <v>Finance</v>
    <v>5</v>
    <v>54.72</v>
    <v>25.774999999999999</v>
    <v>-0.8</v>
    <v>-2.4860000000000004E-2</v>
    <v>131783900</v>
    <v>Enphase Energy, Inc. Ist ein weltweit tätiges Energieunternehmen. Das Unternehmen ist ein Anbieter von Solar- und Batteriesystemen auf Mikroinverterbasis, mit denen Menschen die Sonne nutzen können, um ihren eigenen Strom herzustellen, zu nutzen, zu sparen und zu verkaufen und alles mit einer intelligenten mobilen Anwendung zu steuern. Das Unternehmen entwirft, entwickelt, produziert und verkauft Energielösungen für Haushalte, die Energieerzeugung, Energiespeicherung sowie Steuerung und Kommunikation auf einer intelligenten Plattform verwalten. Das Enphase Energy System bietet einen technologischen, vernetzten Ansatz für die Solarerzeugung und Energiespeicherung, indem es sein Know-how in Sachen Leistungselektronik, Halbleiter und Cloud-basierte Softwaretechnologien nutzt. Das Enphase Energy System, das von IQ-Mikroinvertern, IQ-Batterien und anderen Produkten und Dienstleistungen betrieben wird, ist ein integriertes Solar-, Speicher- und Energiemanagement-Angebot, das den Eigenverbrauch ermöglicht. Das Unternehmen bietet auch eine prädiktive Softwareplattform zur Vereinfachung der Cleantech-Servicelandschaft an.</v>
    <v>1.3207</v>
    <v>4135378782</v>
    <v>Nasdaq Stock Market</v>
    <v>XNAS</v>
    <v>XNAS</v>
    <v>47281 Bayside Parkway, FREMONT, CA, 94538 US</v>
    <v>33.200000000000003</v>
    <v>Renewable Energy</v>
    <v>Aktie</v>
    <v>24.590499999999999</v>
    <v>183</v>
    <v>46128.739947488284</v>
    <v>2872</v>
    <v>ENPHASE ENERGY, INC.</v>
    <v>31.1401</v>
    <v>ENPHASE ENERGY, INC.</v>
    <v>32.89</v>
    <v>31.38</v>
    <v>32.18</v>
    <v>ENPH</v>
    <v>ENPHASE ENERGY, INC. (XNAS:ENPH)</v>
    <v>2006</v>
    <v>3667868</v>
    <v>5372299</v>
    <v>USD</v>
  </rv>
  <rv s="2">
    <v>184</v>
  </rv>
  <rv s="0">
    <v>https://www.bing.com/financeapi/forcetrigger?t=a22ra2&amp;q=XNAS%3aSEDG&amp;form=skydnc</v>
    <v>Learn more on Bing</v>
  </rv>
  <rv s="1">
    <v>de-DE</v>
    <v>a22ra2</v>
    <v>268435456</v>
    <v>1</v>
    <v>Unterstützt von Refinitiv</v>
    <v>0</v>
    <v>1</v>
    <v>SOLAREDGE TECHNOLOGIES, INC. (XNAS:SEDG)</v>
    <v>3</v>
    <v>4</v>
    <v>Finance</v>
    <v>5</v>
    <v>53.75</v>
    <v>11.45</v>
    <v>0.245</v>
    <v>6.4759999999999991E-3</v>
    <v>60366290</v>
    <v>SOLAREDGE TECHNOLOGIES, INC. bietet eine Wechselrichterlösung für Fotovoltaikanlagen. Die Produkte des Unternehmens umfassen Leistungsoptimierer, Wechselrichter und Überwachsungssoftware von SolarEdge. Das Produktportfolio umfasst Bereiche wie Leistungsoptimierer, Wechselrichter, Überwachungsdienste, Energiespeicherung und intelligentes Energiemanagement. Die Leistungsoptimierer des Unternehmens bieten die Nachverfolgung der maximalen Leistungsabgabe auf Modulebene und Echtzeit-Anpassungen von Strom und Spannung an den optimalen Betriebspunkt jedes einzelnen PV-Moduls. Die Unternehmenslösung besteht aus einem Gleichstrom-Leistungsoptimierer, einem Wechselrichter und einer Cloud-basierten Monitoring-Plattform, die als ein integriertes System betrieben wird.</v>
    <v>1.2027000000000001</v>
    <v>2298446491</v>
    <v>Nasdaq Stock Market</v>
    <v>XNAS</v>
    <v>XNAS</v>
    <v>1 HaMada St., POB 12001, HERZLIYA, 4672505 IL</v>
    <v>39.380000000000003</v>
    <v>Renewable Energy</v>
    <v>Aktie</v>
    <v>0</v>
    <v>186</v>
    <v>46128.739911446093</v>
    <v>3576</v>
    <v>SOLAREDGE TECHNOLOGIES, INC.</v>
    <v>37.622999999999998</v>
    <v>SOLAREDGE TECHNOLOGIES, INC.</v>
    <v>38.51</v>
    <v>38.075000000000003</v>
    <v>37.83</v>
    <v>SEDG</v>
    <v>SOLAREDGE TECHNOLOGIES, INC. (XNAS:SEDG)</v>
    <v>2006</v>
    <v>1816713</v>
    <v>3772507</v>
    <v>USD</v>
  </rv>
  <rv s="2">
    <v>187</v>
  </rv>
  <rv s="0">
    <v>https://www.bing.com/financeapi/forcetrigger?t=a1tdvh&amp;q=XNAS%3aFSLR&amp;form=skydnc</v>
    <v>Learn more on Bing</v>
  </rv>
  <rv s="1">
    <v>de-DE</v>
    <v>a1tdvh</v>
    <v>268435456</v>
    <v>1</v>
    <v>Unterstützt von Refinitiv</v>
    <v>0</v>
    <v>1</v>
    <v>FIRST SOLAR, INC. (XNAS:FSLR)</v>
    <v>3</v>
    <v>4</v>
    <v>Finance</v>
    <v>5</v>
    <v>285.99</v>
    <v>119.09010000000001</v>
    <v>-6.14</v>
    <v>-3.1455000000000004E-2</v>
    <v>107450800</v>
    <v>First Solar, Inc. Ist ein Photovoltaik- (PV) Solartechnologie- und Produktionsunternehmen. Mit seiner fortschrittlichen Dünnschicht-PV-Technologie ist es darauf ausgerichtet, die Anforderungen an die Stromerzeugung zu erfüllen. Das Hauptsegment des Unternehmens ist sein Modulgeschäft, das den Entwurf, die Herstellung und den Verkauf von CdTe-Solarmodulen umfasst, die Sonnenlicht in Strom umwandeln. Zu den externen Kunden des Segments gehören Systementwickler, unabhängige Stromerzeuger, Versorgungsunternehmen, gewerbliche und industrielle Unternehmen sowie andere Systemeigentümer und -Betreiber. Zu den Produkten des Unternehmens gehören das Modul der Serie 7 und das Modul der Serie 6 Plus. Das Modul der Serie 6 Plus besteht aus einem Glaslaminat mit einer Größe von ca. 1,2 m x 1,6 m, das Dünnschicht-PV-Halbleitermaterialien verkapselt. Das Modul der Serie 7 hat einen größeren Formfaktor von ca. 1,8 m x 1,8 m. Die Module Serie 6 Plus und Serie 7 hatten eine durchschnittliche Ausgangsleistung von 459 Watt bzw. 531 Watt.</v>
    <v>1.6069</v>
    <v>20314648248</v>
    <v>Nasdaq Stock Market</v>
    <v>XNAS</v>
    <v>XNAS</v>
    <v>4300 E Camelback Road, Suite 220, PHOENIX, AZ, 85018 US</v>
    <v>197.595</v>
    <v>Renewable Energy</v>
    <v>Aktie</v>
    <v>13.306699999999999</v>
    <v>189</v>
    <v>46128.73987868047</v>
    <v>7900</v>
    <v>FIRST SOLAR, INC.</v>
    <v>188.64</v>
    <v>FIRST SOLAR, INC.</v>
    <v>195.4</v>
    <v>189.06</v>
    <v>195.2</v>
    <v>FSLR</v>
    <v>FIRST SOLAR, INC. (XNAS:FSLR)</v>
    <v>2003</v>
    <v>1471799</v>
    <v>1766305</v>
    <v>USD</v>
  </rv>
  <rv s="2">
    <v>190</v>
  </rv>
  <rv s="0">
    <v>https://www.bing.com/financeapi/forcetrigger?t=bvaboc&amp;q=XNYS%3aBEPC&amp;form=skydnc</v>
    <v>Learn more on Bing</v>
  </rv>
  <rv s="1">
    <v>de-DE</v>
    <v>bvaboc</v>
    <v>268435456</v>
    <v>1</v>
    <v>Unterstützt von Refinitiv</v>
    <v>0</v>
    <v>1</v>
    <v>BROOKFIELD RENEWABLE CORPORATION (XNYS:BEPC)</v>
    <v>3</v>
    <v>4</v>
    <v>Finance</v>
    <v>5</v>
    <v>45.18</v>
    <v>26.164999999999999</v>
    <v>-0.02</v>
    <v>-4.5809999999999997E-4</v>
    <v>180240000</v>
    <v>Brookfield Renewable Corp. betreibt Plattformen für erneuerbare Energien und nachhaltige Lösungen. Das Unternehmen verfügt über eine installierte Leistung von über 13.948 MW aus Wasserkraft, Windkraft, Solarenergie, Speicherkapazitäten und Zusatzkapazitäten in Brasilien, Kolumbien, Nordamerika und Europa. Zu seinen nachhaltigen Lösungen zählen unter anderem Investitionen in ein weltweit führendes Unternehmen für Nukleardienstleistungen und ein Portfolio von Investitionen in CO2-Abscheidung und -Speicherung, erneuerbares Erdgas aus landwirtschaftlichen Quellen, Materialrecycling und die Herstellung von eFuels. Das Unternehmen konzentriert sich auf die Strommärkte in den Vereinigten Staaten. Seine Wasserkraftkapazitäten in den Vereinigten Staaten befinden sich in New York, Pennsylvania und New England. In New York verfügt es über mehr als 74 Wasserkraftwerke, in Pennsylvania über vier Wasserkraftwerke und in New England über 48 Wasserkraftwerke. Über seine Tochtergesellschaft TerraForm Power verfügt es über ein vielfältiges Portfolio an Wind- und Solarplattformen in Kalifornien, Illinois, Texas und New York.</v>
    <v>1.2990999999999999</v>
    <v>7865673600</v>
    <v>New York Stock Exchange</v>
    <v>XNYS</v>
    <v>XNYS</v>
    <v>250 Vesey Street, 15Th Floor, NEW YORK, NY, 10281 US</v>
    <v>44.16</v>
    <v>Electrical Utilities &amp; IPPs</v>
    <v>Aktie</v>
    <v>0</v>
    <v>192</v>
    <v>46128.739914478909</v>
    <v>2411</v>
    <v>BROOKFIELD RENEWABLE CORPORATION</v>
    <v>43.29</v>
    <v>BROOKFIELD RENEWABLE CORPORATION</v>
    <v>43.73</v>
    <v>43.64</v>
    <v>43.66</v>
    <v>BEPC</v>
    <v>BROOKFIELD RENEWABLE CORPORATION (XNYS:BEPC)</v>
    <v>2019</v>
    <v>301109</v>
    <v>1456455</v>
    <v>USD</v>
  </rv>
  <rv s="2">
    <v>193</v>
  </rv>
  <rv s="0">
    <v>https://www.bing.com/financeapi/forcetrigger?t=afuhjc&amp;q=XETR%3aVWSB&amp;form=skydnc</v>
    <v>Learn more on Bing</v>
  </rv>
  <rv s="1">
    <v>de-DE</v>
    <v>afuhjc</v>
    <v>268435456</v>
    <v>1</v>
    <v>Unterstützt von Refinitiv</v>
    <v>0</v>
    <v>1</v>
    <v>Vestas Wind Systems A/S (XETR:VWSB)</v>
    <v>3</v>
    <v>32</v>
    <v>Finance</v>
    <v>7</v>
    <v>27.14</v>
    <v>11.335000000000001</v>
    <v>-0.56999999999999995</v>
    <v>-2.1135000000000001E-2</v>
    <v>1009867000</v>
    <v>VESTAS WIND SYSTEMS A/S ist ein in Dänemark ansässiges Unternehmen aus der Windkraftindustrie. Das Unternehmen agiert in zwei Segmenten, nämlich Projekt und Service. Das Projektsegment ist unter anderem für den Verkauf von Windkraftanlagen und Windenergieanlagen zuständig. Das Segment Service umfasst die Erbringung von Dienstleistungen im Zusammenhang mit dem Angebot des Unternehmens sowie den Verkauf von Ersatzteilen und sonstigen Aktivitäten. Die Produktlinie von Vestas Wind System umfasst 2 Megawatt (MW) und 3MW Energieerfassungsplattformen, die mit Eis-, Rauch- und Schattenerkennungssystemen ausgestattet sind. Das Leistungsspektrum besteht unter anderem aus datengesteuerten Beratungsleistungen, Flottenoptimierung, Klingenwartung und Inspektion, Stromerzeugerreparaturen und Getriebeaustausch.</v>
    <v>0.86529999999999996</v>
    <v>183812800000</v>
    <v>Xetra</v>
    <v>XETR</v>
    <v>XETR</v>
    <v>Hedeager 42, Aarhus N, 8200 DK</v>
    <v>27.14</v>
    <v>Renewable Energy</v>
    <v>Aktie</v>
    <v>34.388399999999997</v>
    <v>195</v>
    <v>46128.727152777778</v>
    <v>36973</v>
    <v>Vestas Wind Systems A/S</v>
    <v>26.23</v>
    <v>Vestas Wind Systems A/S</v>
    <v>27.09</v>
    <v>26.4</v>
    <v>26.97</v>
    <v>VWSB</v>
    <v>Vestas Wind Systems A/S (XETR:VWSB)</v>
    <v>1986</v>
    <v>35557</v>
    <v>3039730</v>
    <v>EUR</v>
  </rv>
  <rv s="2">
    <v>196</v>
  </rv>
  <rv s="0">
    <v>https://www.bing.com/financeapi/forcetrigger?t=a22b77&amp;q=XNAS%3aRUN&amp;form=skydnc</v>
    <v>Learn more on Bing</v>
  </rv>
  <rv s="1">
    <v>de-DE</v>
    <v>a22b77</v>
    <v>268435456</v>
    <v>1</v>
    <v>Unterstützt von Refinitiv</v>
    <v>0</v>
    <v>1</v>
    <v>SUNRUN INC. (XNAS:RUN)</v>
    <v>3</v>
    <v>4</v>
    <v>Finance</v>
    <v>5</v>
    <v>22.44</v>
    <v>5.38</v>
    <v>-0.23</v>
    <v>-1.9008000000000001E-2</v>
    <v>234492400</v>
    <v>Sunrun Inc. Ist ein Anbieter von sauberer Energie als Subskriptionsdienst. Das Unternehmen beschäftigt sich mit der Planung, Entwicklung, Installation, dem Verkauf, dem Eigentum und der Wartung von Solaranlagen (Projekten) für Wohnzwecke in den Vereinigten Staaten. Sie liefert saubere, solare Energie, die normalerweise im Vergleich zu herkömmlicher Energie eingespart wird. Seine Hauptkunden sind Wohneigentümer. Darüber hinaus bietet das Unternehmen seinen Kunden in ausgewählten Märkten Batteriespeicher sowie Solarenergiesysteme an und verkauft seine Dienstleistungen an bestimmte kommerzielle Entwickler über seine Mehrfamilien- und Neubauangebote. Sie installiert Solarenergiesysteme in den Häusern ihrer Kunden und versorgt sie mit solarem Strom, der von diesen Systemen erzeugt wird, typischerweise für eine anfängliche Laufzeit von 20 oder 25 Jahren. Es überwacht, wartet und versichert das System während der Vertragslaufzeit. Darüber hinaus bietet das Unternehmen Ladegeräte für Elektrofahrzeuge, Nachrüstungen für Batterien, Systeme zur Wiederankurbelung oder Erweiterung, Dienstleistungen für das Energiemanagement für Haushalte und andere Produkte zur Elektrifizierung von Haushalten.</v>
    <v>2.3245</v>
    <v>2783424788</v>
    <v>Nasdaq Stock Market</v>
    <v>XNAS</v>
    <v>XNAS</v>
    <v>600 California Street, Suite 1800, SAN FRANCISCO, CA, 94108 US</v>
    <v>12.33</v>
    <v>Renewable Energy</v>
    <v>Aktie</v>
    <v>6.9455999999999998</v>
    <v>198</v>
    <v>46128.739956503909</v>
    <v>9059</v>
    <v>SUNRUN INC.</v>
    <v>11.67</v>
    <v>SUNRUN INC.</v>
    <v>12.25</v>
    <v>11.87</v>
    <v>12.1</v>
    <v>RUN</v>
    <v>SUNRUN INC. (XNAS:RUN)</v>
    <v>2008</v>
    <v>7246947</v>
    <v>8226899</v>
    <v>USD</v>
  </rv>
  <rv s="2">
    <v>199</v>
  </rv>
  <rv s="0">
    <v>https://www.bing.com/financeapi/forcetrigger?t=a269ec&amp;q=XNYS%3aXOM&amp;form=skydnc</v>
    <v>Learn more on Bing</v>
  </rv>
  <rv s="1">
    <v>de-DE</v>
    <v>a269ec</v>
    <v>268435456</v>
    <v>1</v>
    <v>Unterstützt von Refinitiv</v>
    <v>0</v>
    <v>1</v>
    <v>EXXON MOBIL CORPORATION (XNYS:XOM)</v>
    <v>3</v>
    <v>4</v>
    <v>Finance</v>
    <v>5</v>
    <v>176.41</v>
    <v>101.185</v>
    <v>3.42</v>
    <v>2.2951000000000003E-2</v>
    <v>4156560000</v>
    <v>Die Exxon Mobil Corporation ist ein Energieversorger und Chemikalienhersteller. Das Hauptgeschäft des Unternehmens umfasst die Exploration und Produktion von Rohöl und Erdgas, die Herstellung, den Handel, den Transport und den Verkauf von Rohöl, Erdgas, Erdölprodukten, Petrochemikalien und einer Vielzahl von Spezialprodukten sowie die Verfolgung emissionsärmerer und anderer neuer Geschäftsmöglichkeiten, einschließlich Kohlenstoffabscheidung und -Speicherung, Wasserstoff, emissionsärmere Kraftstoffe, Proxxima-Systeme, Kohlenstoffmaterialien, und Lithium. Das Upstream-Segment erforscht und produziert Rohöl und Erdgas. In den Segmenten Energieprodukte, chemische Produkte und Spezialprodukte werden Erdölprodukte und Petrochemikalien hergestellt und verkauft. Das Segment Energieprodukte umfasst Kraftstoffe, Aromaten und Katalysatoren sowie Lizenzen. Das Segment der chemischen Produkte besteht aus Olefinen, Polyolefinen und Zwischenprodukten. Das Segment Spezialprodukte umfasst fertige Schmiermittel, Grundschmierstoffe und Wachse, Kunststoffe sowie Elastomere und Harze.</v>
    <v>0.19969999999999999</v>
    <v>633584440800</v>
    <v>New York Stock Exchange</v>
    <v>XNYS</v>
    <v>XNYS</v>
    <v>22777 SPRINGWOODS VILLAGE PARKWAY, SPRING, TX, 77389-1425 US</v>
    <v>152.78</v>
    <v>Oil &amp; Gas</v>
    <v>Aktie</v>
    <v>22.8172</v>
    <v>201</v>
    <v>46128.739978668753</v>
    <v>58000</v>
    <v>EXXON MOBIL CORPORATION</v>
    <v>149.345</v>
    <v>EXXON MOBIL CORPORATION</v>
    <v>149.63</v>
    <v>152.43</v>
    <v>149.01</v>
    <v>XOM</v>
    <v>EXXON MOBIL CORPORATION (XNYS:XOM)</v>
    <v>1882</v>
    <v>7298563</v>
    <v>24930259</v>
    <v>USD</v>
  </rv>
  <rv s="2">
    <v>202</v>
  </rv>
  <rv s="0">
    <v>https://www.bing.com/financeapi/forcetrigger?t=a1qlnm&amp;q=XNYS%3aCVS&amp;form=skydnc</v>
    <v>Learn more on Bing</v>
  </rv>
  <rv s="1">
    <v>de-DE</v>
    <v>a1qlnm</v>
    <v>268435456</v>
    <v>1</v>
    <v>Unterstützt von Refinitiv</v>
    <v>0</v>
    <v>1</v>
    <v>CVS HEALTH CORPORATION (XNYS:CVS)</v>
    <v>3</v>
    <v>4</v>
    <v>Finance</v>
    <v>5</v>
    <v>85.15</v>
    <v>58.35</v>
    <v>0.73</v>
    <v>9.7350000000000006E-3</v>
    <v>1281604000</v>
    <v>CVS Health Corporation ist ein Anbieter von Gesundheitslösungen. Die Unternehmenssegmente umfassen Krankenversicherungsleistungen, Gesundheitsdienste, Apotheken- und Verbrauchergesundheit sowie Unternehmen/Sonstiges. Das Segment Krankenversicherungsleistungen bietet eine Reihe von traditionellen, freiwilligen und verbraucherorientierten Krankenversicherungsprodukten und damit verbundenen Dienstleistungen an, darunter Kranken-, Apotheken-, Zahn- und Psychotherapiepläne, medizinisches Management, PDPs und Medicaid-Gesundheitsmanagementdienste. Das Segment Gesundheitsdienste bietet ein umfassendes Spektrum an PBM-Lösungen, erbringt Gesundheitsdienstleistungen in seinen medizinischen Kliniken, virtuell und zu Hause und bietet Lösungen zur Leistungserbringung. Das Segment Apotheken- und Verbrauchergesundheit gibt Rezepte in seinen Apotheken und über seine Infusionsbetriebe aus, bietet ergänzende Apothekendienstleistungen an, darunter Apotheken-Patientenversorgungsprogramme, diagnostische Tests und Impfverabreichung, und vertreibt eine Auswahl an Gesundheits- und Wellnessprodukten sowie Handelswaren.</v>
    <v>0.51259999999999994</v>
    <v>97043054880</v>
    <v>New York Stock Exchange</v>
    <v>XNYS</v>
    <v>XNYS</v>
    <v>One Cvs Dr., WOONSOCKET, RI, 02895 US</v>
    <v>75.897000000000006</v>
    <v>Healthcare Providers &amp; Services</v>
    <v>Aktie</v>
    <v>55.371099999999998</v>
    <v>204</v>
    <v>46128.739972256248</v>
    <v>300000</v>
    <v>CVS HEALTH CORPORATION</v>
    <v>74.780100000000004</v>
    <v>CVS HEALTH CORPORATION</v>
    <v>74.83</v>
    <v>75.72</v>
    <v>74.989999999999995</v>
    <v>CVS</v>
    <v>CVS HEALTH CORPORATION (XNYS:CVS)</v>
    <v>1996</v>
    <v>4864674</v>
    <v>7465274</v>
    <v>USD</v>
  </rv>
  <rv s="2">
    <v>205</v>
  </rv>
  <rv s="0">
    <v>https://www.bing.com/financeapi/forcetrigger?t=a21t52&amp;q=XNYS%3aSHEL&amp;form=skydnc</v>
    <v>Learn more on Bing</v>
  </rv>
  <rv s="1">
    <v>de-DE</v>
    <v>a21t52</v>
    <v>268435456</v>
    <v>1</v>
    <v>Unterstützt von Refinitiv</v>
    <v>0</v>
    <v>1</v>
    <v>SHELL PLC (XNYS:SHEL)</v>
    <v>3</v>
    <v>4</v>
    <v>Finance</v>
    <v>5</v>
    <v>94.9</v>
    <v>63.77</v>
    <v>1.73</v>
    <v>1.9255999999999999E-2</v>
    <v>2811611000</v>
    <v>Shell plc ist ein internationales Energieunternehmen, das sich mit den wichtigsten Aspekten der Energie- und petrochemischen Industrie befasst. Zu den Segmenten des Unternehmens gehören integriertes Gas, Upstream, Marketing, Chemikalien und Produkte, erneuerbare Energien und Energielösungen sowie Corporate. Das Segment Integrated Gas umfasst Flüssigerdgas (LNG), die Umwandlung von Erdgas in Gas-to-Liquid-Brennstoffe (GTL) und andere Produkte. Dazu gehören die Exploration und Gewinnung von Erdgas und Flüssigkeiten sowie der Betrieb der vor- und Mittelstrominfrastruktur. Das Upstream-Segment umfasst die Exploration und Gewinnung von Rohöl, Erdgas und Erdgasflüssigkeiten. Außerdem vermarktet und befördert sie Öl und Gas und betreibt die Infrastruktur, die für ihre Bereitstellung auf dem Markt erforderlich ist. Das Segment Marketing umfasst die Geschäftsbereiche Mobilität, Schmiermittel und Sektoren &amp; Dekarbonisierung. Das Segment Chemikalien und Produkte umfasst Chemikalienfabriken mit eigenem Marketing-Netzwerk sowie Raffinerien.</v>
    <v>7.7399999999999997E-2</v>
    <v>257459219269</v>
    <v>New York Stock Exchange</v>
    <v>XNYS</v>
    <v>XNYS</v>
    <v>Shell Centre, 2 York Road, LONDON, SE1 7NA GB</v>
    <v>91.66</v>
    <v>Oil &amp; Gas</v>
    <v>Aktie</v>
    <v>15.265700000000001</v>
    <v>207</v>
    <v>46128.739987800778</v>
    <v>85000</v>
    <v>SHELL PLC</v>
    <v>90.55</v>
    <v>SHELL PLC</v>
    <v>90.58</v>
    <v>91.57</v>
    <v>89.84</v>
    <v>SHEL</v>
    <v>SHELL PLC (XNYS:SHEL)</v>
    <v>2002</v>
    <v>2866900</v>
    <v>8021675</v>
    <v>USD</v>
  </rv>
  <rv s="2">
    <v>208</v>
  </rv>
  <rv s="0">
    <v>https://www.bing.com/financeapi/forcetrigger?t=ao6nk2&amp;q=XLON%3aBP.&amp;form=skydnc</v>
    <v>Learn more on Bing</v>
  </rv>
  <rv s="1">
    <v>de-DE</v>
    <v>ao6nk2</v>
    <v>268435456</v>
    <v>1</v>
    <v>Unterstützt von Refinitiv</v>
    <v>0</v>
    <v>1</v>
    <v>BP P.L.C. (XLON:BP.)</v>
    <v>3</v>
    <v>33</v>
    <v>Finance</v>
    <v>34</v>
    <v>609.4</v>
    <v>337.65</v>
    <v>21.9</v>
    <v>3.8961000000000003E-2</v>
    <v>15700880000</v>
    <v>BP p.l.c. ist ein im Vereinigten Königreich ansässiges integriertes Energieunternehmen. Zu den Segmenten des Unternehmens gehören Gas und kohlenstoffarme Energie, Erdölproduktion und -Betrieb, Kunden und Produkte sowie andere Geschäftsbereiche und Unternehmen. Das Gasgeschäft umfasst Regionen mit vorgelagerten Aktivitäten, die Erdgas, integriertes Gas und Strom sowie Gashandel erzeugen. Sein kohlenstoffarmes Geschäft umfasst Solar-, Offshore- und Onshore-Windenergie, Wasserstoff- und Kohlenstoffabscheidung sowie -Speicherung und -Handel. Das Segment Ölproduktion &amp; -Betrieb umfasst Regionen mit vorgelagerten Aktivitäten, die vorwiegend Rohöl produzieren, einschließlich bpx Energy. Das Segment Kunden &amp; Produkte umfasst seine kundenorientierten Geschäftsbereiche, zu denen Convenience- und Einzelhandelskraftstoffe, die Aufladung von Elektrofahrzeugen sowie Castrol, Luftfahrt und Business-to-Business und Midstream gehören. Dazu gehören auch die Produktsparten, die Raffinerie und der Ölhandel sowie die Bioenergiebranchen. Andere Geschäftsbereiche und Unternehmenssegmente umfassen Technologie und bp Ventures.</v>
    <v>0.43759999999999999</v>
    <v>68411480000</v>
    <v>London Stock Exchange</v>
    <v>XLON</v>
    <v>XLON</v>
    <v>1 St James's Square, LONDON, SW1Y 4PD GB</v>
    <v>584</v>
    <v>Oil &amp; Gas</v>
    <v>Aktie</v>
    <v>29085</v>
    <v>210</v>
    <v>46128.644313425779</v>
    <v>93700</v>
    <v>BP P.L.C.</v>
    <v>561.79999999999995</v>
    <v>BP P.L.C.</v>
    <v>563</v>
    <v>584</v>
    <v>562.1</v>
    <v>BP.</v>
    <v>BP P.L.C. (XLON:BP.)</v>
    <v>1909</v>
    <v>30971464</v>
    <v>57114770</v>
    <v>GBp</v>
  </rv>
  <rv s="2">
    <v>211</v>
  </rv>
  <rv s="0">
    <v>https://www.bing.com/financeapi/forcetrigger?t=a24e9c&amp;q=XNYS%3aTTE&amp;form=skydnc</v>
    <v>Learn more on Bing</v>
  </rv>
  <rv s="1">
    <v>de-DE</v>
    <v>a24e9c</v>
    <v>268435456</v>
    <v>1</v>
    <v>Unterstützt von Refinitiv</v>
    <v>0</v>
    <v>1</v>
    <v>TotalEnergies SE (XNYS:TTE)</v>
    <v>3</v>
    <v>4</v>
    <v>Finance</v>
    <v>5</v>
    <v>93.49</v>
    <v>62.155000000000001</v>
    <v>3.8492999999999999</v>
    <v>4.4214000000000003E-2</v>
    <v>2188400000</v>
    <v>Die TotalEnergies SE ist ein in Frankreich ansässiges Unternehmen. Das Unternehmen ist vorwiegend als weltweiter Ölkonzern tätig. Die Segmentbereiche gliedern sich in Raffinerie und Chemie wie Raffination von Erdölprodukten und Herstellung von Grundchemie und Spezialchemie, Vertrieb von Erdölprodukten, Stromerzeugung aus kombinierten Gasanlagen und erneuerbaren Energien, Gasproduktion, Handel, Transport und Vertrieb umfasst in erster Linie Flüssigerdgas, Erdgas, Biogas, Wasserstoff, Flüssiggas sowie Betrieb und Produktion von Kohlenwasserstoffen. Die Gruppe ist auch im Handel und im Seeverkehr mit Rohöl und Erdölerzeugnissen tätig.</v>
    <v>0.2273</v>
    <v>198945912120</v>
    <v>New York Stock Exchange</v>
    <v>XNYS</v>
    <v>XNYS</v>
    <v>Tour Coupole - 2, place Jean Millier, Paris La Defense Cedex, PARIS, ILE-DE-FRANCE, 92078 FR</v>
    <v>91.22</v>
    <v>Oil &amp; Gas</v>
    <v>Aktie</v>
    <v>15.566700000000001</v>
    <v>213</v>
    <v>46128.739793483597</v>
    <v>102887</v>
    <v>TotalEnergies SE</v>
    <v>90.040099999999995</v>
    <v>TotalEnergies SE</v>
    <v>90.3</v>
    <v>90.909300000000002</v>
    <v>87.06</v>
    <v>TTE</v>
    <v>TotalEnergies SE (XNYS:TTE)</v>
    <v>1954</v>
    <v>1571346</v>
    <v>2562406</v>
    <v>USD</v>
  </rv>
  <rv s="2">
    <v>214</v>
  </rv>
  <rv s="0">
    <v>https://www.bing.com/financeapi/forcetrigger?t=a1q5nm&amp;q=XNYS%3aCOP&amp;form=skydnc</v>
    <v>Learn more on Bing</v>
  </rv>
  <rv s="1">
    <v>de-DE</v>
    <v>a1q5nm</v>
    <v>268435456</v>
    <v>1</v>
    <v>Unterstützt von Refinitiv</v>
    <v>0</v>
    <v>1</v>
    <v>CONOCOPHILLIPS (XNYS:COP)</v>
    <v>3</v>
    <v>4</v>
    <v>Finance</v>
    <v>5</v>
    <v>135.87</v>
    <v>84.28</v>
    <v>2.3050000000000002</v>
    <v>1.9382999999999997E-2</v>
    <v>1218853000</v>
    <v>ConocoPhillips ist ein Explorations- und Produktionsunternehmen. Das Segment Alaska umfasst in erster Linie die Erkundung, Förderung, den Transport und die Vermarktung von Erdöl, Erdgas und NGL. Das Segment Lower 48 besteht aus Betrieben in den 48 zusammenhängenden Bundesstaaten der Vereinigten Staaten und im Golf von Mexiko. Die kanadischen Aktivitäten bestehen aus der Erschließung der Surmont-Ölsandvorkommen in Alberta, dem flüssigkeitsreichen unkonventionellen Montney-Vorkommen in British Columbia und den kommerziellen Aktivitäten. Das Segment Europa, Naher Osten und Nordafrika besteht aus Betrieben, die hauptsächlich im norwegischen Teil der Nordsee, in der Norwegischen See, in Katar, Libyen und Äquatorialguinea angesiedelt sind, sowie aus kommerziellen Betrieben und Terminals im Vereinigten Königreich. Das Segment Asien-Pazifik umfasst Explorations- und Produktionsaktivitäten in China, Malaysia und Australien sowie kommerzielle Aktivitäten in China, Singapur und Japan. Das Segment Sonstiges Ausland umfasst Beteiligungen in Kolumbien sowie Eventualverbindlichkeiten im Zusammenhang mit früheren Tätigkeiten in anderen Ländern.</v>
    <v>0.14130000000000001</v>
    <v>147755454925</v>
    <v>New York Stock Exchange</v>
    <v>XNYS</v>
    <v>XNYS</v>
    <v>925 N. Eldridge Parkway, HOUSTON, TX, 77079-2703 US</v>
    <v>122.435</v>
    <v>Oil &amp; Gas</v>
    <v>Aktie</v>
    <v>19.141500000000001</v>
    <v>216</v>
    <v>46128.739995532029</v>
    <v>9900</v>
    <v>CONOCOPHILLIPS</v>
    <v>119.37</v>
    <v>CONOCOPHILLIPS</v>
    <v>119.58</v>
    <v>121.22499999999999</v>
    <v>118.92</v>
    <v>COP</v>
    <v>CONOCOPHILLIPS (XNYS:COP)</v>
    <v>2001</v>
    <v>3503148</v>
    <v>10366211</v>
    <v>USD</v>
  </rv>
  <rv s="2">
    <v>217</v>
  </rv>
  <rv s="0">
    <v>https://www.bing.com/financeapi/forcetrigger?t=ao88tc&amp;q=XLON%3aEOG&amp;form=skydnc</v>
    <v>Learn more on Bing</v>
  </rv>
  <rv s="10">
    <v>de-DE</v>
    <v>ao88tc</v>
    <v>268435456</v>
    <v>1</v>
    <v>Unterstützt von Refinitiv</v>
    <v>35</v>
    <v>36</v>
    <v>EUROPA OIL &amp; GAS (HOLDINGS) PLC (XLON:EOG)</v>
    <v>3</v>
    <v>37</v>
    <v>Finance</v>
    <v>34</v>
    <v>2.4</v>
    <v>0.45</v>
    <v>-0.05</v>
    <v>-3.0769000000000001E-2</v>
    <v>1316139000</v>
    <v>Europa Oil &amp; Gas (Holdings) plc ist ein im Vereinigten Königreich ansässiges Unternehmen zur Exploration und Förderung von Öl und Gas. Sie konzentriert sich auf den Aufbau eines ausgewogenen Portfolios an Explorationsanlagen im Vereinigten Königreich, im Atlantik Irland und in Westafrika. Sie verfügt über ein vielfältiges Portfolio an Kohlenwasserstoffanlagen in verschiedenen Phasen des Erschließungszyklus, einschließlich Exploration und Förderung. Es produziert Öl aus vier britischen Ölfeldern: Wressle, West Firsby, Crosby Warren und Whisby W4 Well. Es produziert etwa 93 Barrel Öl pro Tag (bopd) von drei seiner britischen Ölfelder sowie ein Netz von über 225 bopd mit der Erschließung in Wressle. Außerdem hält sie eine 25%ige Beteiligung an der Ölentdeckung Serenity. Das Prospekt Inishkea in FEL 4/19 befindet sich im Slyne-Becken. Sie hält 75 % der Anteile an der Inezgane Permit, Offshore-Marokko. Das Unternehmen hält über Antler Global Limited eine 80%ige Beteiligung am EG-08-Produktionsfreigabevertrag.</v>
    <v>1.2062999999999999</v>
    <v>17964250</v>
    <v>London Stock Exchange</v>
    <v>XLON</v>
    <v>XLON</v>
    <v>30 Newman Street, LONDON, W1T 1PT GB</v>
    <v>Oil &amp; Gas</v>
    <v>Aktie</v>
    <v>0</v>
    <v>219</v>
    <v>46128.633088495313</v>
    <v>12</v>
    <v>EUROPA OIL &amp; GAS (HOLDINGS) PLC</v>
    <v>EUROPA OIL &amp; GAS (HOLDINGS) PLC</v>
    <v>1.625</v>
    <v>1.575</v>
    <v>1.625</v>
    <v>EOG</v>
    <v>EUROPA OIL &amp; GAS (HOLDINGS) PLC (XLON:EOG)</v>
    <v>2004</v>
    <v>1989929</v>
    <v>8345800</v>
    <v>GBp</v>
  </rv>
  <rv s="2">
    <v>220</v>
  </rv>
  <rv s="0">
    <v>https://www.bing.com/financeapi/forcetrigger?t=a1wyu2&amp;q=XNYS%3aLLY&amp;form=skydnc</v>
    <v>Learn more on Bing</v>
  </rv>
  <rv s="1">
    <v>de-DE</v>
    <v>a1wyu2</v>
    <v>268435456</v>
    <v>1</v>
    <v>Unterstützt von Refinitiv</v>
    <v>0</v>
    <v>1</v>
    <v>ELI LILLY AND COMPANY (XNYS:LLY)</v>
    <v>3</v>
    <v>4</v>
    <v>Finance</v>
    <v>5</v>
    <v>1133.95</v>
    <v>623.78</v>
    <v>-2.25</v>
    <v>-2.4859999999999999E-3</v>
    <v>944818900</v>
    <v>Eli Lilly and Company ist ein Medizinunternehmen, das Produkte im Segment Human-Pharma-Produkte entdeckt, entwickelt, herstellt und vermarktet. Zu den kardiometabolischen Gesundheitsprodukten gehören Basaglar; Humalog, Humalog Mix 75/25, Humalog U-100, Humalog U-200, Humalog Mix 50/50, Insulin lispro und andere; Humulin, Humulin 70/30, und andere; Jardiance; Mounjaro; Trulicity; Zepbound; VERVE-102; VERVE-201 UND VERVE-301. Zu den onkologischen Produkten zählen Cyramza, Erbitux, Tyvyt und Verzenio. Zu den Immunologieprodukten gehören Ebglyss, Olumiant, Omvoh und Taltz. Zu den neurowissenschaftlichen Produkten gehören Emgality und Kisunla. Das Unternehmen ist über seine Tochtergesellschaft POINT Biopharma Global Inc. In der Erforschung, Entwicklung und Herstellung von radioaktiven Arzneimitteln sowie in der Entwicklung klinischer und präklinischer Radioligand-Therapien für die Krebsbehandlung tätig. Es entwickelt auch einen oralen niedermolekularen Inhibitor von a4b7 Integrin für entzündliche Darmerkrankungen (IBD).</v>
    <v>0.48549999999999999</v>
    <v>852963606542</v>
    <v>New York Stock Exchange</v>
    <v>XNYS</v>
    <v>XNYS</v>
    <v>Lilly Corporate Ctr, Drop Code 1094, INDIANAPOLIS, IN, 46285 US</v>
    <v>920</v>
    <v>Pharmaceuticals</v>
    <v>Aktie</v>
    <v>39.325499999999998</v>
    <v>222</v>
    <v>46128.739981631254</v>
    <v>50000</v>
    <v>ELI LILLY AND COMPANY</v>
    <v>898.15</v>
    <v>ELI LILLY AND COMPANY</v>
    <v>911.48</v>
    <v>902.78</v>
    <v>905.03</v>
    <v>LLY</v>
    <v>ELI LILLY AND COMPANY (XNYS:LLY)</v>
    <v>1901</v>
    <v>1408728</v>
    <v>2870940</v>
    <v>USD</v>
  </rv>
  <rv s="2">
    <v>223</v>
  </rv>
  <rv s="0">
    <v>https://www.bing.com/financeapi/forcetrigger?t=a1yvxm&amp;q=XNYS%3aNVO&amp;form=skydnc</v>
    <v>Learn more on Bing</v>
  </rv>
  <rv s="1">
    <v>de-DE</v>
    <v>a1yvxm</v>
    <v>268435456</v>
    <v>1</v>
    <v>Unterstützt von Refinitiv</v>
    <v>0</v>
    <v>1</v>
    <v>Novo Nordisk A/S (XNYS:NVO)</v>
    <v>3</v>
    <v>4</v>
    <v>Finance</v>
    <v>5</v>
    <v>81.44</v>
    <v>35.119999999999997</v>
    <v>3.7499999999999999E-2</v>
    <v>9.1889999999999995E-4</v>
    <v>3390128000</v>
    <v>Novo Nordisk A/S ist ein Unternehmen im Gesundheitssektor. Das Unternehmen ist in der Entdeckung, Entwicklung, Herstellung und Vermarktung von pharmazeutischen Produkten tätig. Geschäftssegmente des Unternehmens sind Diabetes- und Adipositas-Pflege sowie Biopharmazeutika. Das Segment Diabetes- und Adipositas-Pflege umfasst Insuline, glukagonartiges Peptid 1 (GLP-1), andere mit Protein verwandte Produkte (z. B. Glukagon, proteinbezogene Verabreichungssysteme und Nadeln), orale Antidiabetika und Fettleibigkeit. Das Segment Biopharmazeutika umfasst die Therapiegebiete Hämophilie-Versorgung, Therapie mit Wachstumshormonen und Hormonersatz-Therapie. Es bietet eine Reihe von Diabetesprodukten, einschließlich Insulinen der neuen Generation und ein Sortiment an modernem Insulin an. Es liefert Saxenda, ein Produkt zur Behandlung von Fettleibigkeit, das in Dänemark, Italien und Kanada erhältlich ist. Zu seinen sonstigen Produkten/Verbindungen gehören Xultophy, Semaglutid (NN9535), schneller wirkendes Insulin Aspart (NN1218), N9-GP (NN7999), N8-GP (NN7088) und NN8640 einmal wöchentlich menschliches Wachstumshormon.</v>
    <v>0.75329999999999997</v>
    <v>138478253480</v>
    <v>New York Stock Exchange</v>
    <v>XNYS</v>
    <v>XNYS</v>
    <v>Novo Alle 1, BAGSVAERD, 2880 DK</v>
    <v>41.41</v>
    <v>Pharmaceuticals</v>
    <v>Aktie</v>
    <v>11.278499999999999</v>
    <v>225</v>
    <v>46128.739994328127</v>
    <v>68794</v>
    <v>Novo Nordisk A/S</v>
    <v>40.234999999999999</v>
    <v>Novo Nordisk A/S</v>
    <v>41.25</v>
    <v>40.847499999999997</v>
    <v>40.81</v>
    <v>NVO</v>
    <v>Novo Nordisk A/S (XNYS:NVO)</v>
    <v>1931</v>
    <v>11478735</v>
    <v>16453103</v>
    <v>USD</v>
  </rv>
  <rv s="2">
    <v>226</v>
  </rv>
  <rv s="0">
    <v>https://www.bing.com/financeapi/forcetrigger?t=a1zqnm&amp;q=XNYS%3aPFE&amp;form=skydnc</v>
    <v>Learn more on Bing</v>
  </rv>
  <rv s="1">
    <v>de-DE</v>
    <v>a1zqnm</v>
    <v>268435456</v>
    <v>1</v>
    <v>Unterstützt von Refinitiv</v>
    <v>0</v>
    <v>1</v>
    <v>PFIZER INC. (XNYS:PFE)</v>
    <v>3</v>
    <v>4</v>
    <v>Finance</v>
    <v>5</v>
    <v>28.745000000000001</v>
    <v>21.87</v>
    <v>-1.4999999999999999E-2</v>
    <v>-5.5170000000000002E-4</v>
    <v>5688356000</v>
    <v>Pfizer Inc. Ist ein forschungsbasiertes, globales biopharmazeutisches Unternehmen. Das Unternehmen beschäftigt sich mit der Entdeckung, Entwicklung, Herstellung, Vermarktung, dem Verkauf und dem Vertrieb biopharmazeutischer Produkte weltweit. Das Segment Biopharma umfasst die Pfizer U.S. Commercial Division und die Pfizer International Commercial Division. Zu den Produktkategorien gehören Onkologie, Primärversorgung und Spezialpflege. Zu den onkologischen Produkten gehören Ibrance, Xtandi, Padcev, Adcetris, Inlyta, Lorbrena, Bosulif, Tukysa, Braftovi, Mektovi, Orgovyx, Elrexfio, Tivdak und Talzenna. Zu den primären Pflegeprodukten gehören Eliquis, Nurtec ODT/Vydura, Zavzpret, die Familie Prevnar, Comirnaty, Abrysvo, FSME/IMMUN-TicoVac, Nimenrix, Trumenba und Paxlovid. Zu den Spezialpflegeprodukten gehören Xeljanz, Enbrel (außerhalb der Vereinigten Staaten und Kanadas), Inflectra, Abrilada, Cibinqo, Litfulo, Eucrisa, Velsipity, Familie Vyndaqel, Genotropin, BeneFIX, Xyntha, Somavert, Ngenla, Hympavzi, Sulperazon, Zavicefta, Octagam und andere.</v>
    <v>0.3382</v>
    <v>154581074300</v>
    <v>New York Stock Exchange</v>
    <v>XNYS</v>
    <v>XNYS</v>
    <v>66 HUDSON BOULEVARD EAST, NEW YORK, NY, 10001-2192 US</v>
    <v>27.48</v>
    <v>Pharmaceuticals</v>
    <v>Aktie</v>
    <v>20.042000000000002</v>
    <v>228</v>
    <v>46128.740012592185</v>
    <v>75000</v>
    <v>PFIZER INC.</v>
    <v>27.16</v>
    <v>PFIZER INC.</v>
    <v>27.16</v>
    <v>27.175000000000001</v>
    <v>27.19</v>
    <v>PFE</v>
    <v>PFIZER INC. (XNYS:PFE)</v>
    <v>1942</v>
    <v>11996056</v>
    <v>38555986</v>
    <v>USD</v>
  </rv>
  <rv s="2">
    <v>229</v>
  </rv>
  <rv s="0">
    <v>https://www.bing.com/financeapi/forcetrigger?t=a1xxmw&amp;q=XNYS%3aMRK&amp;form=skydnc</v>
    <v>Learn more on Bing</v>
  </rv>
  <rv s="1">
    <v>de-DE</v>
    <v>a1xxmw</v>
    <v>268435456</v>
    <v>1</v>
    <v>Unterstützt von Refinitiv</v>
    <v>0</v>
    <v>1</v>
    <v>MERCK &amp; CO., INC. (XNYS:MRK)</v>
    <v>3</v>
    <v>4</v>
    <v>Finance</v>
    <v>5</v>
    <v>125.14</v>
    <v>73.31</v>
    <v>-2.7450000000000001</v>
    <v>-2.3281999999999997E-2</v>
    <v>2469879000</v>
    <v>Merck &amp; Co., Inc. Ist ein weltweit tätiges Gesundheitsunternehmen, das Gesundheitslösungen über seine verschreibungspflichtigen Medikamente, einschließlich biologischer Therapien, Impfstoffe und Tiergesundheitsprodukte, anbietet. Das Segment Pharma umfasst pharmazeutische Produkte und Impfstoffe für die menschliche Gesundheit. Das Unternehmen verkauft seine pharmazeutischen Produkte für die menschliche Gesundheit in erster Linie an Arzneimittelgroßhändler und -Einzelhändler, Krankenhäuser, Regierungsbehörden und Anbieter von Managed Health Care. Es verkauft diese Impfstoffe für die menschliche Gesundheit in erster Linie an Ärzte, Großhändler, Händler und Regierungsstellen. Das Segment Animal Health entdeckt, entwickelt, produziert und vermarktet eine Reihe von tierärztlichen pharmazeutischen und Impfstoffen sowie Lösungen und Dienstleistungen für das Gesundheitsmanagement zur Prävention, Behandlung und Bekämpfung von Krankheiten bei allen Nutztieren und Haustierarten. Zu den Produkten gehören KEYTRUDA (Pembrolizumab) Injektion zur intravenösen Anwendung, WELIREG (Belzutifan) Tabletten zum Einnehmen, Ohtuvayre (Ensifentrin) und andere.</v>
    <v>0.2742</v>
    <v>284418916245</v>
    <v>New York Stock Exchange</v>
    <v>XNYS</v>
    <v>XNYS</v>
    <v>126 East Lincoln Avenue, P.O. Box 2000, RAHWAY, NJ, 07065 US</v>
    <v>117.845</v>
    <v>Pharmaceuticals</v>
    <v>Aktie</v>
    <v>15.826499999999999</v>
    <v>231</v>
    <v>46128.740022696096</v>
    <v>75000</v>
    <v>MERCK &amp; CO., INC.</v>
    <v>114.71</v>
    <v>MERCK &amp; CO., INC.</v>
    <v>117.13</v>
    <v>115.155</v>
    <v>117.9</v>
    <v>MRK</v>
    <v>MERCK &amp; CO., INC. (XNYS:MRK)</v>
    <v>1970</v>
    <v>5696974</v>
    <v>9477774</v>
    <v>USD</v>
  </rv>
  <rv s="2">
    <v>232</v>
  </rv>
  <rv s="0">
    <v>https://www.bing.com/financeapi/forcetrigger?t=aa46w7&amp;q=XASX%3aABV&amp;form=skydnc</v>
    <v>Learn more on Bing</v>
  </rv>
  <rv s="1">
    <v>de-DE</v>
    <v>aa46w7</v>
    <v>268435456</v>
    <v>1</v>
    <v>Unterstützt von Refinitiv</v>
    <v>0</v>
    <v>1</v>
    <v>ABT (XASX:ABV)</v>
    <v>3</v>
    <v>38</v>
    <v>Finance</v>
    <v>18</v>
    <v>0.16</v>
    <v>7.2999999999999995E-2</v>
    <v>5.0000000000000001E-3</v>
    <v>0.04</v>
    <v>397971300</v>
    <v>Advanced Braking Technology Ltd designs, manufactures and distributes its braking solutions worldwide. The Company’s principal activities are research and development, commercialization, manufacture and installation of the Failsafe wet sealed braking systems. It also produces a fully sealed, dry wheel-end range called Terra Dura and specialized hill hold/park brake solutions. Its braking technologies are engineered to address common shortcomings of standard braking systems with solutions for reducing downtime, failsafe / emergency braking, hill hold / park brake systems, heavy trailer brakes, autonomous vehicles, electric vehicles, zero emissions, driveline brakes and others. It supplies brakes to all seven continents for applications including mining, civil construction, military, freight, agriculture, and recreational/enthusiast off road vehicles. Its range of advanced brake solutions includes Terra Dura, Terra Dura X, Failsafe, Failsafe Emergency and hill hold options.</v>
    <v>1.177</v>
    <v>45753430</v>
    <v>Australian Securities Exchange</v>
    <v>XASX</v>
    <v>XASX</v>
    <v>73 Inspiration Drive, Wangara, PERTH, WESTERN AUSTRALIA, 6065 AU</v>
    <v>0.13</v>
    <v>Automobiles &amp; Auto Parts</v>
    <v>Aktie</v>
    <v>37.880000000000003</v>
    <v>234</v>
    <v>46128.375011574077</v>
    <v>15</v>
    <v>ABT</v>
    <v>0.13</v>
    <v>ABT</v>
    <v>0.13</v>
    <v>0.13</v>
    <v>0.125</v>
    <v>ABV</v>
    <v>ABT (XASX:ABV)</v>
    <v>2001</v>
    <v>268038</v>
    <v>54620</v>
    <v>AUD</v>
  </rv>
  <rv s="2">
    <v>235</v>
  </rv>
  <rv s="0">
    <v>https://www.bing.com/financeapi/forcetrigger?t=a297qh&amp;q=OTCM%3aAZNCF&amp;form=skydnc</v>
    <v>Learn more on Bing</v>
  </rv>
  <rv s="1">
    <v>de-DE</v>
    <v>a297qh</v>
    <v>268435456</v>
    <v>1</v>
    <v>Unterstützt von Refinitiv</v>
    <v>0</v>
    <v>1</v>
    <v>ASTRAZENECA PLC (XNYS:AZN)</v>
    <v>3</v>
    <v>39</v>
    <v>Finance</v>
    <v>5</v>
    <v>212.71</v>
    <v>129.15</v>
    <v>-0.52</v>
    <v>-2.5840000000000004E-3</v>
    <v>1550989000</v>
    <v>AstraZeneca Plc ist ein wissenschaftlich geführtes biopharmazeutisches Unternehmen mit Sitz in Großbritannien. Das Unternehmen konzentriert sich auf die Entdeckung, Entwicklung und Vermarktung von verschreibungspflichtigen Arzneimitteln. Das Unternehmen ist in verschiedenen Therapiebereichen tätig, darunter Onkologie, kardiovaskuläre Erkrankungen, Nieren und Metabolismus (CVRM), Atemwege und Immunologie (F&amp;I), Impfstoffe und Immuntherapien (V&amp;I) sowie seltene Erkrankungen. Zu den wichtigsten Produkten im Bereich Onkologie zählen Tagrisso, Imfinzi, Calquence, Lynparza und Enhertu. Zu den wichtigsten Produkten des CVRM-Bereichs gehören Farxiga/Forxiga, Brilinta/Brilique, Crestor und Lokelma. Im FuI-Bereich sind die wichtigsten Produkte Symbicort, Fasenra, Breztri/Trixeo und Tezspire. Im Bereich V&amp;I Therapies sind die Produkte Beyfortus und FluMist. Die Produkte im Bereich der seltenen Krankheiten sind Ultomiris, Soliris, Strensiq und Koselugo. Es hat etwa 191 Projekte in seiner Entwicklungspipeline, darunter 19 neue molekulare Einheiten (NMEs) in der Spätphase. Das Unternehmen vertreibt seine Produkte in über 125 Ländern.</v>
    <v>0.89959999999999996</v>
    <v>292233202140</v>
    <v>New York Stock Exchange</v>
    <v>XNYS</v>
    <v>XNYS</v>
    <v>1 Francis Crick Avenue, Cambridge Biomedical Campus, CAMBRIDGE, CB2 0AA GB</v>
    <v>201.79</v>
    <v>Pharmaceuticals</v>
    <v>Aktie</v>
    <v>30.404399999999999</v>
    <v>237</v>
    <v>46128.739980520309</v>
    <v>96100</v>
    <v>ASTRAZENECA PLC</v>
    <v>199.99</v>
    <v>ASTRAZENECA PLC</v>
    <v>201.51</v>
    <v>200.69</v>
    <v>201.21</v>
    <v>AZN</v>
    <v>ASTRAZENECA PLC (XNYS:AZN)</v>
    <v>1992</v>
    <v>754005</v>
    <v>1860633</v>
    <v>USD</v>
  </rv>
  <rv s="2">
    <v>238</v>
  </rv>
  <rv s="0">
    <v>https://www.bing.com/financeapi/forcetrigger?t=a1ook2&amp;q=XNYS%3aBMY&amp;form=skydnc</v>
    <v>Learn more on Bing</v>
  </rv>
  <rv s="1">
    <v>de-DE</v>
    <v>a1ook2</v>
    <v>268435456</v>
    <v>1</v>
    <v>Unterstützt von Refinitiv</v>
    <v>0</v>
    <v>1</v>
    <v>BRISTOL-MYERS SQUIBB COMPANY (XNYS:BMY)</v>
    <v>3</v>
    <v>4</v>
    <v>Finance</v>
    <v>5</v>
    <v>62.886400000000002</v>
    <v>42.52</v>
    <v>0.36499999999999999</v>
    <v>6.3049999999999998E-3</v>
    <v>2041735000</v>
    <v>Bristol-Myers Squibb Company ist ein globales biopharmazeutisches Unternehmen. Es beschäftigt sich mit der Entdeckung, Entwicklung und Lieferung von Transformationsmedikamenten für Patienten mit schweren Erkrankungen in folgenden Bereichen: Onkologie, Hämatologie, Immunologie, Herz-Kreislauf-Erkrankungen, Neurowissenschaften und anderen Bereichen. Sein Wachstumsportfolio umfasst Opdivo (Nivolumab), Opdivo Qvantig (Nivolumab und Hyaluronidase-nvhy), Yervoy (Ipilimumab), Reblozyl (luspatercept-aamt), Opdualag (Nivolumab und relatlimab-rmbw), Breyanzi (lisocabtagene maraleucel), Camzanicadav), Aidecabazav) und Sotyktu (Deucravacitinib). Zu den weiteren Wachstumsprodukten gehören Onureg, Inrebic und Empliciti. Das bisherige Portfolio umfasst Eliquis (Apixaban), Revlimid (Lenalidomid), Pomalyst/Imnovid (Pomalidomid), Sprycel (Dasatinib) und Abraxane (Paclitaxel-Albumin-gebundene Partikel zur Herstellung einer injizierbaren Suspension). OPDIVO (Nivolumab) ist ein vollständig humaner monoklonaler Antikörper, der an das PD-1 auf T- und NKT-Zellen bindet.</v>
    <v>0.245</v>
    <v>118941272425</v>
    <v>New York Stock Exchange</v>
    <v>XNYS</v>
    <v>XNYS</v>
    <v>Route 206 And Province Line Road, PRINCETON, NJ, 08543 US</v>
    <v>58.664999999999999</v>
    <v>Pharmaceuticals</v>
    <v>Aktie</v>
    <v>16.8703</v>
    <v>240</v>
    <v>46128.740017568751</v>
    <v>32500</v>
    <v>BRISTOL-MYERS SQUIBB COMPANY</v>
    <v>57.66</v>
    <v>BRISTOL-MYERS SQUIBB COMPANY</v>
    <v>57.66</v>
    <v>58.255000000000003</v>
    <v>57.89</v>
    <v>BMY</v>
    <v>BRISTOL-MYERS SQUIBB COMPANY (XNYS:BMY)</v>
    <v>1933</v>
    <v>2474256</v>
    <v>12533147</v>
    <v>USD</v>
  </rv>
  <rv s="2">
    <v>241</v>
  </rv>
  <rv s="0">
    <v>https://www.bing.com/financeapi/forcetrigger?t=a21uim&amp;q=XNAS%3aREGN&amp;form=skydnc</v>
    <v>Learn more on Bing</v>
  </rv>
  <rv s="1">
    <v>de-DE</v>
    <v>a21uim</v>
    <v>268435456</v>
    <v>1</v>
    <v>Unterstützt von Refinitiv</v>
    <v>0</v>
    <v>1</v>
    <v>REGENERON PHARMACEUTICALS, INC. (XNAS:REGN)</v>
    <v>3</v>
    <v>4</v>
    <v>Finance</v>
    <v>5</v>
    <v>821.11</v>
    <v>476.48689999999999</v>
    <v>-4.6100000000000003</v>
    <v>-6.1150000000000006E-3</v>
    <v>105719800</v>
    <v>Regeneron Pharmaceuticals, Inc. ist ein voll integriertes Biotechnologieunternehmen. Das Unternehmen erfindet, entwickelt, produziert und vermarktet Medikamente für Menschen mit schweren Krankheiten. Seine Produkte und Produktkandidaten in der Entwicklung sollen Patienten mit Augenerkrankungen, allergischen und entzündlichen Erkrankungen, Krebs, Herz-Kreislauf- und Stoffwechselerkrankungen, neurologischen Erkrankungen, hämatologischen Erkrankungen, Infektionskrankheiten und seltenen Krankheiten helfen. Das Unternehmen beschleunigt die Entwicklung von Medikamenten durch den Einsatz seiner firmeneigenen Technologien, wie z.B. VelociSuite, die optimierte vollständig menschliche Antikörper und neue Klassen bispezifischer Antikörper produziert. VelociSuite besteht aus VelocImmune, VelociGene, VelociMouse, VelociMab, Veloci-Bi, VelociT, VelociHum und anderen verwandten Technologien. Zu den vermarkteten Produkten gehören EYLEA (Aflibercept); Dupixent (Dupilumab); Libtayo (Cemiplimab); Ordspono (Odronextamab); Kevzara (Sarilumab); Itepekimab; Linvoseltamab und andere.</v>
    <v>0.36559999999999998</v>
    <v>79217960536</v>
    <v>Nasdaq Stock Market</v>
    <v>XNAS</v>
    <v>XNAS</v>
    <v>777 Old Saw Mill River Road, TARRYTOWN, NY, 10591 US</v>
    <v>755.64</v>
    <v>Pharmaceuticals</v>
    <v>Aktie</v>
    <v>17.8566</v>
    <v>243</v>
    <v>46128.739965381254</v>
    <v>15410</v>
    <v>REGENERON PHARMACEUTICALS, INC.</v>
    <v>746.4</v>
    <v>REGENERON PHARMACEUTICALS, INC.</v>
    <v>749.56</v>
    <v>749.32</v>
    <v>753.93</v>
    <v>REGN</v>
    <v>REGENERON PHARMACEUTICALS, INC. (XNAS:REGN)</v>
    <v>1988</v>
    <v>154514</v>
    <v>616533</v>
    <v>USD</v>
  </rv>
  <rv s="2">
    <v>244</v>
  </rv>
  <rv s="0">
    <v>https://www.bing.com/financeapi/forcetrigger?t=a25k5r&amp;q=XNAS%3aVRTX&amp;form=skydnc</v>
    <v>Learn more on Bing</v>
  </rv>
  <rv s="1">
    <v>de-DE</v>
    <v>a25k5r</v>
    <v>268435456</v>
    <v>1</v>
    <v>Unterstützt von Refinitiv</v>
    <v>0</v>
    <v>1</v>
    <v>VERTEX PHARMACEUTICALS INCORPORATED (XNAS:VRTX)</v>
    <v>3</v>
    <v>4</v>
    <v>Finance</v>
    <v>5</v>
    <v>510.77</v>
    <v>362.5</v>
    <v>-4.6399999999999997</v>
    <v>-1.0505E-2</v>
    <v>254359700</v>
    <v>Vertex Pharmaceuticals Incorporated ist ein globales Biotechnologieunternehmen, das in wissenschaftliche Innovationen investiert, um transformative Medikamente für Menschen mit schweren Krankheiten zu entwickeln, mit Schwerpunkt auf Spezialmärkten. Es hat sieben zugelassene Arzneimittel: Fünf zur Behandlung der zugrunde liegenden Ursache der Mukoviszidose (CF), eines zur Behandlung der schweren Sichelzellkrankheit (SCD) und der transfusionsabhängigen Beta-Thalassämie (TDT) und eines zur Behandlung mittelschwerer bis schwerer akuter Schmerzen. Die Pipeline umfasst Programme im klinischen Stadium bei CF, SCD, Beta-Thalassämie, akuten und peripheren neuropathischen Schmerzen, APOL1-vermittelter Nierenerkrankung, IgA-Nephropathie und anderen autoimmunen Nierenerkrankungen und Zytopenien, Typ-1-Diabetes, myotonischer Dystrophie Typ 1 und autosomal dominanter polyzystischer Nierenerkrankung. Die in Verkehr gebrachten Arzneimittel sind TRIKAFTA/KAFTRIO (Elexacaftor/Tezacaftor/Ivacaftor und Ivacaftor), SYMDEKO/SYMKEVI (Elexacaftor/Tezacaftor/Ivacaftor und Ivacaftor), ORKAMBI (Lumacaftor/Ivacaftor) und KALYDECO (Ivacaftor).</v>
    <v>0.34439999999999998</v>
    <v>111170450482</v>
    <v>Nasdaq Stock Market</v>
    <v>XNAS</v>
    <v>XNAS</v>
    <v>50 Northern Avenue, BOSTON, MA, 02210 US</v>
    <v>445.34</v>
    <v>Pharmaceuticals</v>
    <v>Aktie</v>
    <v>28.5045</v>
    <v>246</v>
    <v>46128.73997256875</v>
    <v>6400</v>
    <v>VERTEX PHARMACEUTICALS INCORPORATED</v>
    <v>436.37</v>
    <v>VERTEX PHARMACEUTICALS INCORPORATED</v>
    <v>442.35</v>
    <v>437.06</v>
    <v>441.7</v>
    <v>VRTX</v>
    <v>VERTEX PHARMACEUTICALS INCORPORATED (XNAS:VRTX)</v>
    <v>1989</v>
    <v>426295</v>
    <v>1382111</v>
    <v>USD</v>
  </rv>
  <rv s="2">
    <v>247</v>
  </rv>
  <rv s="0">
    <v>https://www.bing.com/financeapi/forcetrigger?t=a1ohur&amp;q=XNAS%3aBIIB&amp;form=skydnc</v>
    <v>Learn more on Bing</v>
  </rv>
  <rv s="1">
    <v>de-DE</v>
    <v>a1ohur</v>
    <v>268435456</v>
    <v>1</v>
    <v>Unterstützt von Refinitiv</v>
    <v>0</v>
    <v>1</v>
    <v>BIOGEN INC. (XNAS:BIIB)</v>
    <v>3</v>
    <v>4</v>
    <v>Finance</v>
    <v>5</v>
    <v>202.41</v>
    <v>114.66</v>
    <v>-4.6199000000000003</v>
    <v>-2.5589000000000001E-2</v>
    <v>146758500</v>
    <v>Biogen Inc. ist ein globales biopharmazeutisches Unternehmen. Das Unternehmen konzentriert sich auf die Entdeckung, Entwicklung und Bereitstellung neuartiger Therapien für Menschen, die weltweit mit schweren und komplexen Krankheiten leben. Es verfügt über ein Portfolio von Medikamenten zur Behandlung von Multipler Sklerose (MS), Spinaler Muskelatrophie (SMA), Alzheimer und Amyotropher Lateralsklerose (ALS). Das Unternehmen konzentriert sich darauf, seine Pipeline in den Bereichen Neurologie, spezialisierte Immunologie und seltene Krankheiten voranzubringen. Zu den vermarkteten Produkten gehören TECFIDERA, VUMERITY, AVONEX, PLEGRIDY, TYSABRI und FAMPYRA zur Behandlung von MS, SPINRAZA zur Behandlung von SMA, SKYCLARYS zur Behandlung von Friedreich-Ataxie, QALSODY zur Behandlung von ALS und FUMADERM zur Behandlung von schwerer Plaque-Psoriasis. Darüber hinaus arbeitet das Unternehmen mit Eisai an der Vermarktung von LEQEMBI zur Behandlung der Alzheimer-Krankheit und mit Sage an der Vermarktung von ZURZUVAE zur Behandlung der postpartalen Depression (PPD).</v>
    <v>0.16700000000000001</v>
    <v>25817769995</v>
    <v>Nasdaq Stock Market</v>
    <v>XNAS</v>
    <v>XNAS</v>
    <v>225 Binney Street, CAMBRIDGE, MA, 02142 US</v>
    <v>179.5</v>
    <v>Pharmaceuticals</v>
    <v>Aktie</v>
    <v>19.977499999999999</v>
    <v>249</v>
    <v>46128.739881562498</v>
    <v>7500</v>
    <v>BIOGEN INC.</v>
    <v>175.76</v>
    <v>BIOGEN INC.</v>
    <v>178.68</v>
    <v>175.92009999999999</v>
    <v>180.54</v>
    <v>BIIB</v>
    <v>BIOGEN INC. (XNAS:BIIB)</v>
    <v>1997</v>
    <v>336715</v>
    <v>1231836</v>
    <v>USD</v>
  </rv>
  <rv s="2">
    <v>250</v>
  </rv>
  <rv s="0">
    <v>https://www.bing.com/financeapi/forcetrigger?t=a1tvoc&amp;q=XNAS%3aGILD&amp;form=skydnc</v>
    <v>Learn more on Bing</v>
  </rv>
  <rv s="1">
    <v>de-DE</v>
    <v>a1tvoc</v>
    <v>268435456</v>
    <v>1</v>
    <v>Unterstützt von Refinitiv</v>
    <v>0</v>
    <v>1</v>
    <v>GILEAD SCIENCES, INC. (XNAS:GILD)</v>
    <v>3</v>
    <v>4</v>
    <v>Finance</v>
    <v>5</v>
    <v>157.29</v>
    <v>93.37</v>
    <v>-1.25</v>
    <v>-8.9429999999999996E-3</v>
    <v>1241222000</v>
    <v>Gilead Sciences, Inc. Ist ein biopharmazeutisches Unternehmen. Es ist an der Entwicklung von Arzneimitteln zur Vorbeugung und Behandlung lebensbedrohlicher Krankheiten wie HIV, Virushepatitis, COVID-19, Krebs und Entzündungen beteiligt. Es konzentriert sich auf die Entdeckung, Entwicklung und Bereitstellung von Arzneimitteln, die auf ungedeckten medizinischen Bedarf in der Virologie, Onkologie und anderen therapeutischen Bereichen abgestellt werden. Das Portfolio der vermarkteten Produkte umfasst Biktarvy, Genvoya, Descovy, Complera/Eviplera, Symtuza, Truvada, Stribild, Sunlenca, Epclusa, Vemlidy, Harvoni, Viread, Livdelzi, Veklury, Yescarta, Tecartus, Trodelvy, AmBisome und Letairis. Zu den Produktkandidaten gehören Bulevirtide, Lenacapavir, Axicabtagene Ciloleucel, Sacituzumab Govitecan-hziy und andere. Es entwickelt auch das HB-400-Programm und das HB-500-Programm. Es entwickelt Therapien, die funktionelle Heilungen gegen das Hepatitis-B-Virus und das humane Immundefizienzvirus-1 liefern sollen. Es ist in mehr als 35 Ländern weltweit tätig.</v>
    <v>0.4002</v>
    <v>171934071440</v>
    <v>Nasdaq Stock Market</v>
    <v>XNAS</v>
    <v>XNAS</v>
    <v>333 LAKESIDE DR, FOSTER CITY, CA, 94404-1147 US</v>
    <v>140.26499999999999</v>
    <v>Pharmaceuticals</v>
    <v>Aktie</v>
    <v>20.419499999999999</v>
    <v>252</v>
    <v>46128.739976654688</v>
    <v>17000</v>
    <v>GILEAD SCIENCES, INC.</v>
    <v>138.315</v>
    <v>GILEAD SCIENCES, INC.</v>
    <v>138.61000000000001</v>
    <v>138.52000000000001</v>
    <v>139.77000000000001</v>
    <v>GILD</v>
    <v>GILEAD SCIENCES, INC. (XNAS:GILD)</v>
    <v>1987</v>
    <v>1210701</v>
    <v>5841151</v>
    <v>USD</v>
  </rv>
  <rv s="2">
    <v>253</v>
  </rv>
  <rv s="0">
    <v>https://www.bing.com/financeapi/forcetrigger?t=bo5fpr&amp;q=XNAS%3aMRNA&amp;form=skydnc</v>
    <v>Learn more on Bing</v>
  </rv>
  <rv s="1">
    <v>de-DE</v>
    <v>bo5fpr</v>
    <v>268435456</v>
    <v>1</v>
    <v>Unterstützt von Refinitiv</v>
    <v>0</v>
    <v>1</v>
    <v>MODERNA, INC. (XNAS:MRNA)</v>
    <v>3</v>
    <v>4</v>
    <v>Finance</v>
    <v>5</v>
    <v>59.55</v>
    <v>22.28</v>
    <v>-0.69540000000000002</v>
    <v>-1.2816000000000001E-2</v>
    <v>396586900</v>
    <v>Moderna, Inc. Ist ein Biotechnologieunternehmen. Das Unternehmen entwickelt eine neue Klasse von Arzneimitteln, die aus Botenstoff Ribonukleinsäure (mRNA) hergestellt werden. Es entwickelt Therapeutika und Impfstoffe für Infektionskrankheiten, Immunonkologie, seltene Krankheiten und Autoimmunerkrankungen. MRNA-Arzneimittel sollen die Zellen des Körpers dazu bringen, intrazelluläre, membranförmige oder sezernierte Proteine zu produzieren, die einen therapeutischen oder präventiven Nutzen mit dem Potenzial haben, ein Spektrum von Krankheiten zu behandeln. Die vielfältige Entwicklungspipeline des Unternehmens besteht aus 44 therapeutischen und Impfprogrammen, von denen 11 sich in der späten Entwicklungsphase befinden. Zu den kommerziellen Produkten gehören Spikevax (sein COVID-Impfstoff) und mRESVIA (sein Respiratory Syncytial Virus (RSV)-Impfstoff). Darüber hinaus hat es vier positive Phase-III-Daten für seinen COVID-Impfstoff (mRNA-1283), seinen RSV-Impfstoff für Hochrisiko-Erwachsene im Alter von 18 bis 59 Jahren (mRNA-1345), seinen saisonalen Grippe+COVID-Impfstoff (mRNA-1083) und seinen saisonalen Grippeimpfstoff (mRNA-1010) erreicht.</v>
    <v>1.2113</v>
    <v>21243018663</v>
    <v>Nasdaq Stock Market</v>
    <v>XNAS</v>
    <v>XNAS</v>
    <v>325 BINNEY STREET, Cambridge, MA, 02142 US</v>
    <v>54.21</v>
    <v>Pharmaceuticals</v>
    <v>Aktie</v>
    <v>0</v>
    <v>255</v>
    <v>46128.74000680547</v>
    <v>4700</v>
    <v>MODERNA, INC.</v>
    <v>52.76</v>
    <v>MODERNA, INC.</v>
    <v>54.13</v>
    <v>53.564599999999999</v>
    <v>54.26</v>
    <v>MRNA</v>
    <v>MODERNA, INC. (XNAS:MRNA)</v>
    <v>2016</v>
    <v>1923621</v>
    <v>6137257</v>
    <v>USD</v>
  </rv>
  <rv s="2">
    <v>256</v>
  </rv>
  <rv s="0">
    <v>https://www.bing.com/financeapi/forcetrigger?t=a1vjbh&amp;q=XNAS%3aINCY&amp;form=skydnc</v>
    <v>Learn more on Bing</v>
  </rv>
  <rv s="1">
    <v>de-DE</v>
    <v>a1vjbh</v>
    <v>268435456</v>
    <v>1</v>
    <v>Unterstützt von Refinitiv</v>
    <v>0</v>
    <v>1</v>
    <v>INCYTE CORPORATION (XNAS:INCY)</v>
    <v>3</v>
    <v>4</v>
    <v>Finance</v>
    <v>5</v>
    <v>112.29</v>
    <v>56.13</v>
    <v>-2.33</v>
    <v>-2.3996E-2</v>
    <v>199014500</v>
    <v>Incyte Corporation ist ein biopharmazeutisches Unternehmen, das sich auf die Entdeckung, Entwicklung und Vermarktung von Therapeutika konzentriert. Das Unternehmen ist in zwei therapeutischen Bereichen tätig, ein therapeutischer Bereich ist Hämatologie/Onkologie, der aus myeloproliferativen Neubildungen und Graft-versus-Host-Erkrankungen sowie soliden Tumoren und hämatologischen Malignomen besteht. Sein anderer therapeutischer Bereich ist Entzündung und Autoimmunität, zu der auch die Dermatologie kommerzielle Franchise gehört. Seine Hämatologie- und Onkologie-Franchise umfasst vier Produkte: JAKAFI (Ruxolitinib), MONJUVI (Tafasitamab-cxix)/MINJUVI (Tafasitamab), PEMAZYRE (Pemigatinib), ICLUSIG (Ponatinib) und ZYNYZ (retifanlimab-dlwr). sowie zahlreiche klinische Entwicklungsprogramme. Die Pipeline des Unternehmens umfasst auch zwei erstklassige niedermolekulare Antagonisten, die den Mas-verwandten G-Protein-gekoppelten Rezeptor X2 (MRGPRX2) zur Behandlung verschiedener Mastzellstörungen und MRGPRX4 für cholestatischen Pruritus ansprechen.</v>
    <v>0.83709999999999996</v>
    <v>18860604165</v>
    <v>Nasdaq Stock Market</v>
    <v>XNAS</v>
    <v>XNAS</v>
    <v>1801 Augustine Cut-Off, WILMINGTON, DE, 19803 US</v>
    <v>97.53</v>
    <v>Pharmaceuticals</v>
    <v>Aktie</v>
    <v>14.796900000000001</v>
    <v>258</v>
    <v>46128.739851608596</v>
    <v>2844</v>
    <v>INCYTE CORPORATION</v>
    <v>94.56</v>
    <v>INCYTE CORPORATION</v>
    <v>96.95</v>
    <v>94.77</v>
    <v>97.1</v>
    <v>INCY</v>
    <v>INCYTE CORPORATION (XNAS:INCY)</v>
    <v>1991</v>
    <v>639235</v>
    <v>1544840</v>
    <v>USD</v>
  </rv>
  <rv s="2">
    <v>259</v>
  </rv>
  <rv s="0">
    <v>https://www.bing.com/financeapi/forcetrigger?t=a1nbmw&amp;q=XNAS%3aALNY&amp;form=skydnc</v>
    <v>Learn more on Bing</v>
  </rv>
  <rv s="1">
    <v>de-DE</v>
    <v>a1nbmw</v>
    <v>268435456</v>
    <v>1</v>
    <v>Unterstützt von Refinitiv</v>
    <v>0</v>
    <v>1</v>
    <v>ALNYLAM PHARMACEUTICALS, INC. (XNAS:ALNY)</v>
    <v>3</v>
    <v>4</v>
    <v>Finance</v>
    <v>5</v>
    <v>495.55</v>
    <v>225.84479999999999</v>
    <v>-8.06</v>
    <v>-2.4176000000000003E-2</v>
    <v>133427900</v>
    <v>Alnylam Pharmaceuticals, Inc. Ist ein biopharmazeutisches Unternehmen. Das Unternehmen beschäftigt sich mit der Entdeckung, Entwicklung, Herstellung und Vermarktung neuartiger Therapeutika, die auf Ribonukleinsäureinterferenz (RNAi) basieren. Zu den in den Verkehr gebrachten Produkten gehören AMVUTTRA (Vutrisiran) zur Behandlung der hereditären transthyretin-vermittelten Amyloidose (hATTR) mit Polyneuropathie bei Erwachsenen; ONPATTRO (Patisiran) zur Behandlung der Polyneuropathie der hATTR-Amyloidose bei Erwachsenen; GIVLAARI (Givosiran) zur Behandlung von Erwachsenen mit akuter hepatischer Porphyrie; OXLUMO (Lumasiran), die als primäre Behandlung von Hyperklitis oder Hyperlipiran), die durch Hyperglyciran (Hyperglyciran), die als Hyperglykämie oder Hyperglyciran (Hyperglykämie) entwickelt wird, die durch Hyperglyciran). Darüber hinaus entwickelt das Unternehmen Cemdisiran zur Behandlung komplementvermittelter Erkrankungen, Belcesiran zur Behandlung von Alpha-1-Lebererkrankungen, Elebsiran, Zilebesiran, ALN-APP, ALN-HSD, Fitusiran und andere.</v>
    <v>0.376</v>
    <v>43408098707</v>
    <v>Nasdaq Stock Market</v>
    <v>XNAS</v>
    <v>XNAS</v>
    <v>675 W Kendall St, CAMBRIDGE, MA, 02142-1168 US</v>
    <v>333.39</v>
    <v>Pharmaceuticals</v>
    <v>Aktie</v>
    <v>144.90020000000001</v>
    <v>261</v>
    <v>46128.740044154685</v>
    <v>2500</v>
    <v>ALNYLAM PHARMACEUTICALS, INC.</v>
    <v>325.32010000000002</v>
    <v>ALNYLAM PHARMACEUTICALS, INC.</v>
    <v>333.39</v>
    <v>325.33</v>
    <v>333.39</v>
    <v>ALNY</v>
    <v>ALNYLAM PHARMACEUTICALS, INC. (XNAS:ALNY)</v>
    <v>2003</v>
    <v>314132</v>
    <v>1132527</v>
    <v>USD</v>
  </rv>
  <rv s="2">
    <v>262</v>
  </rv>
  <rv s="0">
    <v>https://www.bing.com/financeapi/forcetrigger?t=a1vt77&amp;q=XNAS%3aISRG&amp;form=skydnc</v>
    <v>Learn more on Bing</v>
  </rv>
  <rv s="1">
    <v>de-DE</v>
    <v>a1vt77</v>
    <v>268435456</v>
    <v>1</v>
    <v>Unterstützt von Refinitiv</v>
    <v>0</v>
    <v>1</v>
    <v>INTUITIVE SURGICAL, INC. (XNAS:ISRG)</v>
    <v>3</v>
    <v>4</v>
    <v>Finance</v>
    <v>5</v>
    <v>603.88</v>
    <v>427.83600000000001</v>
    <v>-13.345000000000001</v>
    <v>-2.8493000000000001E-2</v>
    <v>355169700</v>
    <v>Intuitive Surgical, Inc. Entwickelt, produziert und vermarktet da Vinci chirurgische Systeme und das endoluminale Ionensystem. Das Unternehmen ist auf invasive Versorgung und robotergestützte Chirurgie spezialisiert. Zu seinen Technologien gehören die da Vinci-Operationssysteme und das endoluminale Ionensystem. Das da Vinci-Operationssystem wurde entwickelt, um Chirurgen die Durchführung einer Reihe von chirurgischen Eingriffen innerhalb seiner Spezialgebiete für allgemeine Chirurgie, Urologie, Gynäkologie, Kardiothorakie und Kopf-Hals-Chirurgie zu ermöglichen. Es besteht aus einer OP-Konsole oder -Konsolen, einem Patientenwagen und einem Hochleistungs-Sehsystem. Das endoluminale Ionensystem ist eine flexible, robotergestützte, kathetergestützte Plattform, bei der es sich um minimal-invasive Biopsien in der Lunge handelt. Es besteht aus einem Systemwagen, einem Controller, einem Katheter und einer Vision-Sonde. Das Ionensystem erweitert sein kommerzielles Angebot über die Chirurgie hinaus auf diagnostische und endoluminale Verfahren.</v>
    <v>1.5859000000000001</v>
    <v>161607541045</v>
    <v>Nasdaq Stock Market</v>
    <v>XNAS</v>
    <v>XNAS</v>
    <v>1020 Kifer Road, SUNNYVALE, CA, 94086 US</v>
    <v>471.8</v>
    <v>Healthcare Equipment &amp; Supplies</v>
    <v>Aktie</v>
    <v>57.784799999999997</v>
    <v>264</v>
    <v>46128.740025265623</v>
    <v>17021</v>
    <v>INTUITIVE SURGICAL, INC.</v>
    <v>454</v>
    <v>INTUITIVE SURGICAL, INC.</v>
    <v>469.08</v>
    <v>455.01499999999999</v>
    <v>468.36</v>
    <v>ISRG</v>
    <v>INTUITIVE SURGICAL, INC. (XNAS:ISRG)</v>
    <v>1995</v>
    <v>1125019</v>
    <v>1687487</v>
    <v>USD</v>
  </rv>
  <rv s="2">
    <v>265</v>
  </rv>
  <rv s="0">
    <v>https://www.bing.com/financeapi/forcetrigger?t=a1mrar&amp;q=XNYS%3aABT&amp;form=skydnc</v>
    <v>Learn more on Bing</v>
  </rv>
  <rv s="1">
    <v>de-DE</v>
    <v>a1mrar</v>
    <v>268435456</v>
    <v>1</v>
    <v>Unterstützt von Refinitiv</v>
    <v>0</v>
    <v>1</v>
    <v>ABBOTT LABORATORIES (XNYS:ABT)</v>
    <v>3</v>
    <v>4</v>
    <v>Finance</v>
    <v>5</v>
    <v>139.06</v>
    <v>93.92</v>
    <v>-6.59</v>
    <v>-6.4888000000000001E-2</v>
    <v>1737675000</v>
    <v>Abbott Laboratories ist ein weltweit tätiges Unternehmen im Gesundheitswesen. Das Unternehmen beschäftigt sich mit der Entdeckung, Entwicklung, Herstellung und dem Verkauf einer breiten und diversifizierten Produktpalette von Gesundheitsprodukten. Das Unternehmen ist in vier Segmenten tätig: Etablierte pharmazeutische Produkte, Diagnostika, Ernährungsprodukte und Medizinprodukte. Das etablierte Segment Pharmaceutical Products ist im internationalen Vertrieb einer breiten Palette von generischen Markenprodukten tätig. Das Segment Diagnostika ist im weltweiten Vertrieb von Diagnosesystemen und -Tests für Blutbanken, Krankenhäuser, kommerzielle Labors und Teststandorte für alternative Pflegeprodukte tätig. Das Segment Nutritional Products ist am weltweiten Vertrieb einer breiten Palette von Ernährungsprodukten für Erwachsene und Kinder beteiligt. Das Segment Medical Devices umfasst den weltweiten Vertrieb von Rhythmusmanagement, Elektrophysiologie, Herzinsuffizienz, Gefäßgefäßen, strukturellen Herzerkrankungen, neuromodulation und Diabetespflegeprodukte.</v>
    <v>0.75880000000000003</v>
    <v>165026994750</v>
    <v>New York Stock Exchange</v>
    <v>XNYS</v>
    <v>XNYS</v>
    <v>100 Abbott Park Road, Abbot Park, ABBOTT PARK, IL, 60064-3500 US</v>
    <v>99</v>
    <v>Healthcare Equipment &amp; Supplies</v>
    <v>Aktie</v>
    <v>25.445399999999999</v>
    <v>267</v>
    <v>46128.740019536715</v>
    <v>115000</v>
    <v>ABBOTT LABORATORIES</v>
    <v>93.92</v>
    <v>ABBOTT LABORATORIES</v>
    <v>97.42</v>
    <v>94.97</v>
    <v>101.56</v>
    <v>ABT</v>
    <v>ABBOTT LABORATORIES (XNYS:ABT)</v>
    <v>1900</v>
    <v>16202663</v>
    <v>12296153</v>
    <v>USD</v>
  </rv>
  <rv s="2">
    <v>268</v>
  </rv>
  <rv s="0">
    <v>https://www.bing.com/financeapi/forcetrigger?t=a1xg3m&amp;q=XNYS%3aMDT&amp;form=skydnc</v>
    <v>Learn more on Bing</v>
  </rv>
  <rv s="1">
    <v>de-DE</v>
    <v>a1xg3m</v>
    <v>268435456</v>
    <v>1</v>
    <v>Unterstützt von Refinitiv</v>
    <v>0</v>
    <v>1</v>
    <v>MEDTRONIC PUBLIC LIMITED COMPANY (XNYS:MDT)</v>
    <v>3</v>
    <v>4</v>
    <v>Finance</v>
    <v>5</v>
    <v>106.33</v>
    <v>79.930000000000007</v>
    <v>-0.8</v>
    <v>-9.1850000000000005E-3</v>
    <v>1283885000</v>
    <v>Medtronic Public Limited Company ist ein irisches Unternehmen, das Technologielösungen für das Gesundheitswesen anbietet. Die Produktkategorie des Unternehmens umfasst fortschrittliche Chirurgentechnologie, Herzrhythmus, Herz-Kreislauf, Verdauung und Magen-Darm-Trakt, Ohr, Nase &amp; Hals; Allgemeine Chirurgie; Gynäkologie; Neurologisch; Mund- Und Kiefer- Und Gesichtschirurgie; Patientenüberwachung, Nierenversorgung, Atmung, Wirbelsäulen- und Orthopädie, chirurgische Navigation und Bildgebung, Urologie, Produkthandbücher, Produktbestellung und -Anfragen sowie Produktleistung und -Empfehlungen. Zu den Produkten gehören die Stabilisierung implantierbarer elektronischer Geräte (CIED), Produkte für Aortenstenttransplantate, CareLink Personal Therapy Management Software und CareLink Pro Therapy Management Software. Zu den Dienstleistungen und Lösungen gehören Ressourcen für ambulante Chirurgie, Care Management Services, Unterstützung für digitale Konnektivität Informationstechnologie (IT), Geräte-Services und -Support, Innovation Lab, Medtronic Healthcare Consulting und die niedergelassene Sinuschirurgie.</v>
    <v>0.71130000000000004</v>
    <v>110799275500</v>
    <v>New York Stock Exchange</v>
    <v>XNYS</v>
    <v>XNYS</v>
    <v>20 LOWER HATCH STREET DUBLIN 2, DUBLIN, D02 XH02 IE</v>
    <v>87.58</v>
    <v>Healthcare Equipment &amp; Supplies</v>
    <v>Aktie</v>
    <v>24.098099999999999</v>
    <v>270</v>
    <v>46128.740015971875</v>
    <v>95000</v>
    <v>MEDTRONIC PUBLIC LIMITED COMPANY</v>
    <v>85.99</v>
    <v>MEDTRONIC PUBLIC LIMITED COMPANY</v>
    <v>86.9</v>
    <v>86.3</v>
    <v>87.1</v>
    <v>MDT</v>
    <v>MEDTRONIC PUBLIC LIMITED COMPANY (XNYS:MDT)</v>
    <v>2014</v>
    <v>3938593</v>
    <v>8015156</v>
    <v>USD</v>
  </rv>
  <rv s="2">
    <v>271</v>
  </rv>
  <rv s="0">
    <v>https://www.bing.com/financeapi/forcetrigger?t=a1oxur&amp;q=XNYS%3aBSX&amp;form=skydnc</v>
    <v>Learn more on Bing</v>
  </rv>
  <rv s="1">
    <v>de-DE</v>
    <v>a1oxur</v>
    <v>268435456</v>
    <v>1</v>
    <v>Unterstützt von Refinitiv</v>
    <v>0</v>
    <v>1</v>
    <v>BOSTON SCIENTIFIC CORPORATION (XNYS:BSX)</v>
    <v>3</v>
    <v>4</v>
    <v>Finance</v>
    <v>5</v>
    <v>109.5</v>
    <v>60.59</v>
    <v>-0.81</v>
    <v>-1.2537E-2</v>
    <v>1486175000</v>
    <v>Boston Scientific Corporation ist ein weltweit tätiger Entwickler, Hersteller und Vermarkter von medizinischen Geräten, die in einer Reihe von interventionellen medizinischen Fachgebieten eingesetzt werden. Das Segment MedSurg des Unternehmens umfasst die Bereiche Endoskopie, Urologie und Neuromodulation. Der Geschäftsbereich Endoskopie entwickelt und fertigt Geräte zur Diagnose und Behandlung einer Reihe von Magen-Darm-Erkrankungen mit weniger invasiven Technologien. Der Geschäftsbereich Urologie entwickelt und produziert Geräte zur Behandlung verschiedener urologischer Erkrankungen sowohl für die männliche als auch für die weibliche Anatomie, einschließlich Nierensteinen, gutartiger Prostatahyperplasie, Prostatakrebs, erektiler Dysfunktion und Inkontinenz. Das Geschäftsfeld Neuromodulation entwickelt und fertigt Geräte zur Behandlung verschiedener neurologischer Bewegungsstörungen und zur Behandlung chronischer Schmerzen. Das Segment Herz-Kreislauf umfasst die Bereiche Kardiologie und periphere Interventionen. Die Kardiologie umfasst interventionelle kardiologische Therapien, Watchman, Herzrhythmus-Management und Elektrophysiologie.</v>
    <v>0.73250000000000004</v>
    <v>94817965000</v>
    <v>New York Stock Exchange</v>
    <v>XNYS</v>
    <v>XNYS</v>
    <v>300 Boston Scientific Way, MARLBOROUGH, MA, 01752-1234 US</v>
    <v>65.56</v>
    <v>Healthcare Equipment &amp; Supplies</v>
    <v>Aktie</v>
    <v>32.901899999999998</v>
    <v>273</v>
    <v>46128.740039015625</v>
    <v>59000</v>
    <v>BOSTON SCIENTIFIC CORPORATION</v>
    <v>63.68</v>
    <v>BOSTON SCIENTIFIC CORPORATION</v>
    <v>64.95</v>
    <v>63.8</v>
    <v>64.61</v>
    <v>BSX</v>
    <v>BOSTON SCIENTIFIC CORPORATION (XNYS:BSX)</v>
    <v>1979</v>
    <v>5193366</v>
    <v>15067398</v>
    <v>USD</v>
  </rv>
  <rv s="2">
    <v>274</v>
  </rv>
  <rv s="0">
    <v>https://www.bing.com/financeapi/forcetrigger?t=b19h6h&amp;q=XNYS%3aSKY&amp;form=skydnc</v>
    <v>Learn more on Bing</v>
  </rv>
  <rv s="1">
    <v>de-DE</v>
    <v>b19h6h</v>
    <v>268435456</v>
    <v>1</v>
    <v>Unterstützt von Refinitiv</v>
    <v>0</v>
    <v>1</v>
    <v>CHAMPION HOMES, INC (XNYS:SKY)</v>
    <v>3</v>
    <v>4</v>
    <v>Finance</v>
    <v>5</v>
    <v>99.165099999999995</v>
    <v>59.44</v>
    <v>-0.27</v>
    <v>-3.5670000000000003E-3</v>
    <v>55302020</v>
    <v>Champion Homes, Inc. Ist ein Hersteller von fabrikgebauten Wohnhäusern in Nordamerika. Zu den Segmenten gehören U.S. Factory-Built Housing, das Produktions- und Einzelhandelswohnungen umfasst, und Canadian Factory-Built Housing. Das Unternehmen verfügt über ein Portfolio von gefertigten und modularen Wohnhäusern, Zubehörwohnungen (ADUs), Parkmodellen und modularen Gebäuden für die ein-, Mehrfamilien- und Gastgewerbebranche. Zusätzlich zu seinem Kerngeschäft im Wohnungsbau erbringt das Unternehmen Baudienstleistungen für die Installation und Einrichtung von Fabrikhäusern, betreibt ein direkt in Fabriken gebautes Einzelhandelsgeschäft mit 72 Einzelhandelsstandorten in den Vereinigten Staaten und betreibt Star Fleet Trucking, das Transportdienstleistungen für gefertigte Wohnungen und andere Industrien von mehreren Versandstandorten in den Vereinigten Staaten aus erbringt. Es baut Häuser unter Markennamen in der Fabrikbauindustrie, darunter Champion Homes, Genesis Homes, Skyline Homes, Regional Homes, Athen Park und Dutch Housing.</v>
    <v>1.1041000000000001</v>
    <v>4170878348</v>
    <v>New York Stock Exchange</v>
    <v>XNYS</v>
    <v>XNYS</v>
    <v>755 W Big Beaver Road, Suite 1000, TROY, MI, 48084 US</v>
    <v>76.685000000000002</v>
    <v>Homebuilding &amp; Construction Supplies</v>
    <v>Aktie</v>
    <v>20.123799999999999</v>
    <v>276</v>
    <v>46128.739881585156</v>
    <v>9000</v>
    <v>CHAMPION HOMES, INC</v>
    <v>75.37</v>
    <v>CHAMPION HOMES, INC</v>
    <v>76.685000000000002</v>
    <v>75.42</v>
    <v>75.69</v>
    <v>SKY</v>
    <v>CHAMPION HOMES, INC (XNYS:SKY)</v>
    <v>1959</v>
    <v>99541</v>
    <v>551724</v>
    <v>USD</v>
  </rv>
  <rv s="2">
    <v>277</v>
  </rv>
  <rv s="0">
    <v>https://www.bing.com/financeapi/forcetrigger?t=a1ser7&amp;q=XNYS%3aEW&amp;form=skydnc</v>
    <v>Learn more on Bing</v>
  </rv>
  <rv s="1">
    <v>de-DE</v>
    <v>a1ser7</v>
    <v>268435456</v>
    <v>1</v>
    <v>Unterstützt von Refinitiv</v>
    <v>0</v>
    <v>1</v>
    <v>EDWARDS LIFESCIENCES CORPORATION (XNYS:EW)</v>
    <v>3</v>
    <v>4</v>
    <v>Finance</v>
    <v>5</v>
    <v>87.89</v>
    <v>68.63</v>
    <v>-0.49</v>
    <v>-6.2660000000000007E-3</v>
    <v>576541700</v>
    <v>Edwards Lifesciences Corporation ist ein globales Unternehmen für strukturelle Herzinnovationen. Das Unternehmen beschäftigt sich mit patientenorientierten medizinischen Innovationen für strukturelle Herzerkrankungen und investiert in Forschung und Entwicklung, um die Versorgung von Personen zu verändern, die von strukturellen Herzerkrankungen betroffen sind. Die Produkte werden in Gruppen unterteilt, darunter Transcatheter-Aortenklappenersatz (TAVR), Transcatheter-Mitral- und Trikuspidtherapien (TMTT) und chirurgisches strukturelles Herz (Chirurgie). Es entwickelt Transkatheter-Herzklappenersatztechnologien für den minimalinvasiven Ersatz von Aortenherzklappen. Die Edwards SAPIEN Klappenfamilie umfasst die Systeme Edwards SAPIEN 3, Edwards SAPIEN 3 Ultra und Edwards SAPIEN 3 Ultra RESILIA. Diese Systeme sind katheterbasierte Ansätze zur Behandlung schwerer symptomatischer Aortenstenosen. Die PASCAL PRECISION- und Cardioband-Transkatheter-Ventilreparatursysteme sind in Europa für die Reparatur von Mitral- und Trikuspidalklappen im Handel erhältlich.</v>
    <v>0.85880000000000001</v>
    <v>44803055507</v>
    <v>New York Stock Exchange</v>
    <v>XNYS</v>
    <v>XNYS</v>
    <v>One Edwards Way, IRVINE, CA, 92614 US</v>
    <v>79.010000000000005</v>
    <v>Healthcare Equipment &amp; Supplies</v>
    <v>Aktie</v>
    <v>43.014499999999998</v>
    <v>279</v>
    <v>46128.73997141172</v>
    <v>16000</v>
    <v>EDWARDS LIFESCIENCES CORPORATION</v>
    <v>77.260000000000005</v>
    <v>EDWARDS LIFESCIENCES CORPORATION</v>
    <v>77.92</v>
    <v>77.709999999999994</v>
    <v>78.2</v>
    <v>EW</v>
    <v>EDWARDS LIFESCIENCES CORPORATION (XNYS:EW)</v>
    <v>1999</v>
    <v>2922210</v>
    <v>4574834</v>
    <v>USD</v>
  </rv>
  <rv s="2">
    <v>280</v>
  </rv>
  <rv s="0">
    <v>https://www.bing.com/financeapi/forcetrigger?t=a1rgxm&amp;q=XNAS%3aDXCM&amp;form=skydnc</v>
    <v>Learn more on Bing</v>
  </rv>
  <rv s="1">
    <v>de-DE</v>
    <v>a1rgxm</v>
    <v>268435456</v>
    <v>1</v>
    <v>Unterstützt von Refinitiv</v>
    <v>0</v>
    <v>1</v>
    <v>DEXCOM, INC. (XNAS:DXCM)</v>
    <v>3</v>
    <v>4</v>
    <v>Finance</v>
    <v>5</v>
    <v>89.98</v>
    <v>54.11</v>
    <v>-0.05</v>
    <v>-8.1250000000000007E-4</v>
    <v>384864800</v>
    <v>DexCom, Inc. ist ein Unternehmen für medizinische Geräte. Das Unternehmen konzentriert sich in erster Linie auf die Konzeption, Entwicklung und Vermarktung von Systemen zur kontinuierlichen Blutzuckermessung (CGM) für das Management von Diabetes und Stoffwechselerkrankungen durch Patienten, Pflegepersonal und Kliniker. Zu seinen Produkten gehören Dexcom G6, Dexcom G7, Stelo, Dexcom Share und Dexcom ONE. Das Unternehmen ermöglicht es Menschen, ihre Gesundheit durch innovative Biosensortechnologie selbst in die Hand zu nehmen. Dexcom G6 ist sein integriertes System zur kontinuierlichen Blutzuckermessung (iCGM). Stelo wurde speziell für Menschen mit Typ-II-Diabetes entwickelt, die kein Insulin verwenden, und ist der erste frei verkäufliche Glukose-Biosensor in den Vereinigten Staaten. Das Fernüberwachungssystem Dexcom Share, das für jedes Dexcom-System angeboten wird, verwendet eine App auf dem kompatiblen Mobilgerät des Patienten. Das Dexcom G7 eignet sich für Erwachsene und Kinder (ab 2 Jahren) mit Typ-I- oder Typ-II-Diabetes, die Insulin oder Medikamente einnehmen, bei denen das Risiko einer Hypoglykämie besteht, sowie für Personen mit Schwangerschaftsdiabetes.</v>
    <v>1.4832000000000001</v>
    <v>23665336552</v>
    <v>Nasdaq Stock Market</v>
    <v>XNAS</v>
    <v>XNAS</v>
    <v>6340 Sequence Drive, SAN DIEGO, CA, 92121 US</v>
    <v>63.89</v>
    <v>Healthcare Equipment &amp; Supplies</v>
    <v>Aktie</v>
    <v>29.765699999999999</v>
    <v>282</v>
    <v>46128.740033657028</v>
    <v>11000</v>
    <v>DEXCOM, INC.</v>
    <v>61.24</v>
    <v>DEXCOM, INC.</v>
    <v>61.38</v>
    <v>61.49</v>
    <v>61.54</v>
    <v>DXCM</v>
    <v>DEXCOM, INC. (XNAS:DXCM)</v>
    <v>1999</v>
    <v>2934460</v>
    <v>4077311</v>
    <v>USD</v>
  </rv>
  <rv s="2">
    <v>283</v>
  </rv>
  <rv s="0">
    <v>https://www.bing.com/financeapi/forcetrigger?t=a1ncjc&amp;q=XNAS%3aALT&amp;form=skydnc</v>
    <v>Learn more on Bing</v>
  </rv>
  <rv s="1">
    <v>de-DE</v>
    <v>a1ncjc</v>
    <v>268435456</v>
    <v>1</v>
    <v>Unterstützt von Refinitiv</v>
    <v>0</v>
    <v>1</v>
    <v>ALTIMMUNE, INC. (XNAS:ALT)</v>
    <v>3</v>
    <v>4</v>
    <v>Finance</v>
    <v>5</v>
    <v>7.73</v>
    <v>2.87</v>
    <v>2.3199999999999998E-2</v>
    <v>6.8240000000000002E-3</v>
    <v>130105200</v>
    <v>Altimmune, Inc. ist ein biopharmazeutisches Unternehmen in der klinischen Phase. Das Unternehmen konzentriert sich auf die Entwicklung peptidbasierter Therapeutika der nächsten Generation. Es entwickelt Pemvidutid, einen GLP-1/Glucagon-Doppelrezeptor-Agonisten für die Behandlung von Fettleibigkeit, metabolischer Dysfunktion und Steatohepatitis (MASH) und anderen Indikationen. Es wird angenommen, dass die Aktivierung der GLP-1- und Glucagon-Rezeptoren die komplementären Effekte von Diät und Sport auf die Gewichtsabnahme nachahmt, wobei GLP-1 den Appetit unterdrückt und Glucagon den Energieverbrauch erhöht. Glucagon wird auch eine direkte Wirkung auf den Fettstoffwechsel der Leber zugeschrieben, was zu einer raschen Senkung der Leberfett- und Serumlipidwerte führt. Das Unternehmen hat die Phase-II-Studie MOMENTUM zur Fettleibigkeit abgeschlossen und wird derzeit in der Phase-IIb-Studie IMPACT zu MASH untersucht. Das Unternehmen entwickelt und vermarktet auch Surfactant-funktionalisierte (EuPort-Domäne) Peptidtherapeutika auf Inkretinbasis, einschließlich (GLP-1-Glucagon)/Oxyntomodulin und Varianten.</v>
    <v>0.37319999999999998</v>
    <v>445376120</v>
    <v>Nasdaq Stock Market</v>
    <v>XNAS</v>
    <v>XNAS</v>
    <v>910 Clopper Road, Suite 201S, GAITHERSBURG, MD, 20878-1361 US</v>
    <v>3.4649999999999999</v>
    <v>Biotechnology &amp; Medical Research</v>
    <v>Aktie</v>
    <v>0</v>
    <v>285</v>
    <v>46128.739640485939</v>
    <v>57</v>
    <v>ALTIMMUNE, INC.</v>
    <v>3.35</v>
    <v>ALTIMMUNE, INC.</v>
    <v>3.39</v>
    <v>3.4232</v>
    <v>3.4</v>
    <v>ALT</v>
    <v>ALTIMMUNE, INC. (XNAS:ALT)</v>
    <v>2005</v>
    <v>1211282</v>
    <v>3053724</v>
    <v>USD</v>
  </rv>
  <rv s="2">
    <v>286</v>
  </rv>
  <rv s="0">
    <v>https://www.bing.com/financeapi/forcetrigger?t=a25e1h&amp;q=XNAS%3aVKTX&amp;form=skydnc</v>
    <v>Learn more on Bing</v>
  </rv>
  <rv s="1">
    <v>de-DE</v>
    <v>a25e1h</v>
    <v>268435456</v>
    <v>1</v>
    <v>Unterstützt von Refinitiv</v>
    <v>0</v>
    <v>1</v>
    <v>VIKING THERAPEUTICS, INC. (XNAS:VKTX)</v>
    <v>3</v>
    <v>4</v>
    <v>Finance</v>
    <v>5</v>
    <v>43.15</v>
    <v>21.23</v>
    <v>-0.21</v>
    <v>-5.9240000000000004E-3</v>
    <v>115893900</v>
    <v>Viking Therapeutics, Inc. Ist ein biopharmazeutisches Unternehmen in klinischer Phase, das sich auf die Entwicklung von Therapien zur Behandlung von Stoffwechsel- und endokrinen Störungen konzentriert. Zu seinen klinischen Programmen gehören VK2735, ein neuer Dual-Agonist des Glucagon-ähnlichen Peptids 1 und Glucose-abhängige insulinotrope Polypeptidrezeptoren zur möglichen Behandlung verschiedener Stoffwechselstörungen. Es bewertet eine orale Formulierung von VK2735 in einer Phase-II-Studie. Es entwickelt auch VK2809, einen neuen, oral erhältlichen, kleinen Molekül-selektiven Schilddrüsenhormonrezeptor-Beta-Agonisten zur Behandlung von Lipid- und Stoffwechselstörungen. Sein neuestes Programm evaluiert eine Reihe intern entwickelter Dual-Amylin- und Calcitonin-Rezeptor-Agonisten zur Behandlung von Adipositas und anderen Stoffwechselstörungen. Im Bereich der seltenen Erkrankung entwickelt es VK0214, einen neuen, oral verfügbaren, niedermolekularen selektiven Beta-Agonisten des Schilddrüsenhormonrezeptors zur möglichen Behandlung der X-verknüpften Adrenoleukodystrophie.</v>
    <v>0.83940000000000003</v>
    <v>4084101036</v>
    <v>Nasdaq Stock Market</v>
    <v>XNAS</v>
    <v>XNAS</v>
    <v>9920 Pacific Heights Blvd, Suite 350, SAN DIEGO, CA, 92121 US</v>
    <v>35.664999999999999</v>
    <v>Biotechnology &amp; Medical Research</v>
    <v>Aktie</v>
    <v>0</v>
    <v>288</v>
    <v>46128.739979154685</v>
    <v>53</v>
    <v>VIKING THERAPEUTICS, INC.</v>
    <v>34.85</v>
    <v>VIKING THERAPEUTICS, INC.</v>
    <v>35.450000000000003</v>
    <v>35.24</v>
    <v>35.450000000000003</v>
    <v>VKTX</v>
    <v>VIKING THERAPEUTICS, INC. (XNAS:VKTX)</v>
    <v>2012</v>
    <v>822068</v>
    <v>2355857</v>
    <v>USD</v>
  </rv>
  <rv s="2">
    <v>289</v>
  </rv>
  <rv s="0">
    <v>http://en.wikipedia.org/wiki/Amgen</v>
    <v>Wikipedia</v>
  </rv>
  <rv s="3">
    <v>39</v>
    <v>291</v>
  </rv>
  <rv s="4">
    <v>13</v>
    <v>https://www.bing.com/th?id=AMMS_7651d2e878d4df4bb82a200be2db03e3&amp;qlt=95</v>
    <v>292</v>
    <v>0</v>
    <v>https://www.bing.com/images/search?form=xlimg&amp;q=amgen</v>
    <v>Image of AMGEN INC.</v>
  </rv>
  <rv s="0">
    <v>https://www.bing.com/financeapi/forcetrigger?t=a1nec7&amp;q=XNAS%3aAMGN&amp;form=skydnc</v>
    <v>Learn more on Bing</v>
  </rv>
  <rv s="5">
    <v>de-DE</v>
    <v>a1nec7</v>
    <v>268435456</v>
    <v>1</v>
    <v>Unterstützt von Refinitiv</v>
    <v>8</v>
    <v>9</v>
    <v>AMGEN INC. (XNAS:AMGN)</v>
    <v>11</v>
    <v>12</v>
    <v>Finance</v>
    <v>5</v>
    <v>391.29</v>
    <v>261.43</v>
    <v>-0.7</v>
    <v>-2.0100000000000001E-3</v>
    <v>539685500</v>
    <v>Amgen Inc. ist ein Biotechnologieunternehmen. Es erforscht, entwickelt, produziert und vertreibt Medikamente für schwerste Erkrankungen. Der Schwerpunkt liegt auf Bereichen mit hohem medizinischem Bedarf und nutzt seine Expertise, um Lösungen zu finden, die das Leben der Menschen verbessern. Amgen ist im Bereich der Humantherapie tätig. Zu den vermarkteten Produkten gehören EPOGEN (Epoetin alfa); Aranesp (Darbepoetin alfa); Parsabiv (Etelcalcetid); Neulasta (Pegfilgrastim); KANJINTI (Trastuzumab-anns); Otezla; BLINCYTO (Blinatumomab); ACTIMMUNE (Interferon gamma-1b); Neulasta (Pegfilgrastim); Sensipar/Mimpara (Cinacalcet); Prolia (Denosumab); ENBREL; QUINSAIR (Levofloxacin); Repatha (Evolocumab) und weitere. Das Unternehmen vertreibt ENBREL, einen Tumornekrosefaktor-Blocker, in den USA und Kanada. Otezla, ein kleines Molekül, das die Phosphodiesterase 4 hemmt, wird in vielen Ländern weltweit vermarktet. Repatha, ein Inhibitor der Proproteinkonvertase Subtilisin/Kexin Typ 9 (PCSK9), wird ebenfalls in vielen Ländern weltweit vermarktet.</v>
    <v>0.46160000000000001</v>
    <v>293</v>
    <v>187551504960</v>
    <v>Nasdaq Stock Market</v>
    <v>XNAS</v>
    <v>XNAS</v>
    <v>One Amgen Center Drive, THOUSAND OAKS, CA, 91320-1799 US</v>
    <v>351.2518</v>
    <v>Pharmaceuticals</v>
    <v>Aktie</v>
    <v>24.4084</v>
    <v>294</v>
    <v>46128.739986318753</v>
    <v>31500</v>
    <v>AMGEN INC.</v>
    <v>346.63</v>
    <v>AMGEN INC.</v>
    <v>346.63</v>
    <v>347.52</v>
    <v>348.22</v>
    <v>AMGN</v>
    <v>AMGEN INC. (XNAS:AMGN)</v>
    <v>1986</v>
    <v>662064</v>
    <v>2638009</v>
    <v>USD</v>
  </rv>
  <rv s="2">
    <v>295</v>
  </rv>
  <rv s="0">
    <v>https://www.bing.com/financeapi/forcetrigger?t=a2u2jc&amp;q=OTCM%3aRHHBY&amp;form=skydnc</v>
    <v>Learn more on Bing</v>
  </rv>
  <rv s="1">
    <v>de-DE</v>
    <v>a2u2jc</v>
    <v>268435456</v>
    <v>1</v>
    <v>Unterstützt von Refinitiv</v>
    <v>0</v>
    <v>1</v>
    <v>Roche Holding AG (OTCM:RHHBY)</v>
    <v>3</v>
    <v>4</v>
    <v>Finance</v>
    <v>7</v>
    <v>60.85</v>
    <v>35.07</v>
    <v>-1.0900000000000001</v>
    <v>-2.1377E-2</v>
    <v>6474030000</v>
    <v>Roche Holding AG ist ein forschungsorientiertes Healthcare-Unternehmen. Das Unternehmen entwickelt, produziert und liefert Medikamente und diagnostische Instrumente und Tests. Seine operativen Geschäftsbereiche gliedern sich in zwei Geschäftsbereiche: Pharma und Diagnostics. Die Division Pharma besteht aus zwei Geschäftsbereichen: Roche Pharma und Chugai. Die Division Diagnostics besteht aus vier Geschäftsbereichen: Diabetes Care, Molecular Diagnostics, Professional Diagnostics und Tissue Diagnostics. Es entwickelt Medikamente gegen Krankheitsbereiche, darunter Onkologie, Immunologie, Infektionskrankheiten, Augenheilkunde und Neurowissenschaften. Das Produktportfolio besteht aus Pharmaprodukten, Lösungen für die Diagnostik und Produkte für Forscher. Zu den pharmazeutischen Produkten zählen ACTEMRA und CellCept. Seine Lösungen für Diagnostikprodukte umfassen Accu-Chek Active System und Accu-Chek Aviva Nano System. Die Produkte des Unternehmens für Forscher umfassen Cedex HiRes und Genome Sequencer FLX System.</v>
    <v>0.52449999999999997</v>
    <v>323054097000</v>
    <v>OTC Markets</v>
    <v>OTCM</v>
    <v>OTCM</v>
    <v>Grenzacherstr. 124, BASEL, BASEL-STADT, 4058 CH</v>
    <v>50.54</v>
    <v>Pharmaceuticals</v>
    <v>Aktie</v>
    <v>35.091000000000001</v>
    <v>297</v>
    <v>46128.729269930467</v>
    <v>112774</v>
    <v>Roche Holding AG</v>
    <v>49.802500000000002</v>
    <v>Roche Holding AG</v>
    <v>50.48</v>
    <v>49.9</v>
    <v>50.99</v>
    <v>RHHBY</v>
    <v>Roche Holding AG (OTCM:RHHBY)</v>
    <v>1966</v>
    <v>625846</v>
    <v>2143400</v>
    <v>USD</v>
  </rv>
  <rv s="2">
    <v>298</v>
  </rv>
  <rv s="0">
    <v>https://www.bing.com/financeapi/forcetrigger?t=a226jc&amp;q=XNYS%3aROK&amp;form=skydnc</v>
    <v>Learn more on Bing</v>
  </rv>
  <rv s="1">
    <v>de-DE</v>
    <v>a226jc</v>
    <v>268435456</v>
    <v>1</v>
    <v>Unterstützt von Refinitiv</v>
    <v>0</v>
    <v>1</v>
    <v>ROCKWELL AUTOMATION, INC. (XNYS:ROK)</v>
    <v>3</v>
    <v>4</v>
    <v>Finance</v>
    <v>5</v>
    <v>438.72</v>
    <v>222.06</v>
    <v>3.92</v>
    <v>9.8640000000000012E-3</v>
    <v>112357900</v>
    <v>Rockwell Automation, Inc. Beschäftigt sich mit der industriellen Automatisierung und digitalen Transformation. Das Unternehmen ist in drei Segmenten tätig: Intelligente Geräte, Software &amp; Steuerung und Lifecycle Services. Das umfassende Portfolio des Segments Intelligente Geräte umfasst Leistungssteuerung, Bewegungssteuerung, Sicherheit, Sensorik und industrielle Komponenten, und Mikrosteuerung und verteilter Eingang/Ausgang. Das Geschäftssegment Software &amp; Control umfasst ein umfassendes Portfolio an Plattformen für die Produktionsautomatisierung und den Produktionsbetrieb, einschließlich Hardware und Software. Dieses integrierte Portfolio vereint Informationstechnologie (IT) und Betriebstechnologie (OT) und bringt die Vorteile des vernetzten Unternehmens in das Produktionssystem. Das Segment Lifecycle Services umfasst Beratungsdienstleistungen, einschließlich Strategien für Cybersicherheit und digitale Transformation sowie Design- und professionelle Services, einschließlich globaler Automatisierungs- und Informationsprogramme sowie Projektmanagement- und -Bereitstellungsfunktionen.</v>
    <v>1.5682</v>
    <v>45091472428</v>
    <v>New York Stock Exchange</v>
    <v>XNYS</v>
    <v>XNYS</v>
    <v>1201 South 2Nd Street, MILWAUKEE, WI, 53204 US</v>
    <v>405.05500000000001</v>
    <v>Machinery, Equipment &amp; Components</v>
    <v>Aktie</v>
    <v>45.906599999999997</v>
    <v>300</v>
    <v>46128.73988238359</v>
    <v>26000</v>
    <v>ROCKWELL AUTOMATION, INC.</v>
    <v>397.41</v>
    <v>ROCKWELL AUTOMATION, INC.</v>
    <v>399.9</v>
    <v>401.32</v>
    <v>397.4</v>
    <v>ROK</v>
    <v>ROCKWELL AUTOMATION, INC. (XNYS:ROK)</v>
    <v>1996</v>
    <v>224937</v>
    <v>844617</v>
    <v>USD</v>
  </rv>
  <rv s="2">
    <v>301</v>
  </rv>
  <rv s="0">
    <v>https://www.bing.com/financeapi/forcetrigger?t=a1ry3m&amp;q=XNYS%3aEMR&amp;form=skydnc</v>
    <v>Learn more on Bing</v>
  </rv>
  <rv s="1">
    <v>de-DE</v>
    <v>a1ry3m</v>
    <v>268435456</v>
    <v>1</v>
    <v>Unterstützt von Refinitiv</v>
    <v>0</v>
    <v>1</v>
    <v>EMERSON ELECTRIC CO. (XNYS:EMR)</v>
    <v>3</v>
    <v>4</v>
    <v>Finance</v>
    <v>5</v>
    <v>165.15</v>
    <v>95.31</v>
    <v>-0.59250000000000003</v>
    <v>-4.2199999999999998E-3</v>
    <v>562000000</v>
    <v>Emerson Electric Co. Ist ein globales Technologie- und Softwareunternehmen, das Lösungen für Kunden in einer Vielzahl von Endmärkten weltweit anbietet. Das Unternehmen ist in sieben Segmenten in zwei Unternehmensgruppen tätig, darunter intelligente Geräte und Software und Steuerung. Der Geschäftsbereich Intelligente Geräte umfasst Endkontrolle, Messung und Analyse, diskrete Automatisierung sowie Sicherheit und Produktivität. Software- und Steuerungsgeschäft umfasst Steuerungssysteme und -Software, Test- und Messtechnik sowie AspenTech. Das Segment Final Control ist ein globaler Anbieter von Steuerventilen, Absperrventilen, Absperrventilen, Überdruckventilen, Drucksicherheitsventilen, Aktuatoren und Regler für die Prozess- und Hybridindustrie. Das Segment Measurement &amp; Analytical ist ein Anbieter intelligenter Messgeräte zur Messung der physikalischen Eigenschaften von Flüssigkeiten oder Gasen. Das Segment AspenTech bietet Software zur Anlagenoptimierung, mit der Industriehersteller ihre Betriebsabläufe entwickeln, betreiben und warten können.</v>
    <v>1.2881</v>
    <v>78571815000</v>
    <v>New York Stock Exchange</v>
    <v>XNYS</v>
    <v>XNYS</v>
    <v>8027 Forsyth Boulevard,, ST. LOUIS, MO, 63105 US</v>
    <v>141.76</v>
    <v>Machinery, Equipment &amp; Components</v>
    <v>Aktie</v>
    <v>34.2791</v>
    <v>303</v>
    <v>46128.74005115703</v>
    <v>71000</v>
    <v>EMERSON ELECTRIC CO.</v>
    <v>139.4</v>
    <v>EMERSON ELECTRIC CO.</v>
    <v>140.83000000000001</v>
    <v>139.8075</v>
    <v>140.4</v>
    <v>EMR</v>
    <v>EMERSON ELECTRIC CO. (XNYS:EMR)</v>
    <v>1890</v>
    <v>1185665</v>
    <v>2998889</v>
    <v>USD</v>
  </rv>
  <rv s="2">
    <v>304</v>
  </rv>
  <rv s="0">
    <v>https://www.bing.com/financeapi/forcetrigger?t=a1ut3m&amp;q=XNAS%3aHON&amp;form=skydnc</v>
    <v>Learn more on Bing</v>
  </rv>
  <rv s="1">
    <v>de-DE</v>
    <v>a1ut3m</v>
    <v>268435456</v>
    <v>1</v>
    <v>Unterstützt von Refinitiv</v>
    <v>0</v>
    <v>1</v>
    <v>HONEYWELL INTERNATIONAL INCORPORATION (XNAS:HON)</v>
    <v>3</v>
    <v>4</v>
    <v>Finance</v>
    <v>5</v>
    <v>248.18</v>
    <v>181.0087</v>
    <v>-1.83</v>
    <v>-7.8810000000000009E-3</v>
    <v>633653100</v>
    <v>Honeywell International Inc. ist ein integriertes Unternehmen, das eine Reihe von Branchen und Regionen auf der ganzen Welt bedient. Das Portfolio basiert auf dem Betriebssystem Honeywell Accelerator und der Plattform Honeywell Forge. Das Unternehmen bietet umsetzbare Lösungen für Luft- und Raumfahrt, Gebäudeautomation, Industrieautomation, Prozessautomatisierung und Pro</v>
    <v>0.90669999999999995</v>
    <v>145968328116</v>
    <v>Nasdaq Stock Market</v>
    <v>XNAS</v>
    <v>XNAS</v>
    <v>855 S. Mint Street, CHARLOTTE, NC, 28202 US</v>
    <v>233.6</v>
    <v>Consumer Goods Conglomerates</v>
    <v>Aktie</v>
    <v>33.510300000000001</v>
    <v>306</v>
    <v>46128.740002441409</v>
    <v>101000</v>
    <v>HONEYWELL INTERNATIONAL INCORPORATION</v>
    <v>230.12</v>
    <v>HONEYWELL INTERNATIONAL INCORPORATION</v>
    <v>231.7</v>
    <v>230.36</v>
    <v>232.19</v>
    <v>HON</v>
    <v>HONEYWELL INTERNATIONAL INCORPORATION (XNAS:HON)</v>
    <v>1985</v>
    <v>1052882</v>
    <v>3639463</v>
    <v>USD</v>
  </rv>
  <rv s="2">
    <v>307</v>
  </rv>
  <rv s="0">
    <v>https://www.bing.com/financeapi/forcetrigger?t=a2gcur&amp;q=OTCM%3aFANUY&amp;form=skydnc</v>
    <v>Learn more on Bing</v>
  </rv>
  <rv s="1">
    <v>de-DE</v>
    <v>a2gcur</v>
    <v>268435456</v>
    <v>1</v>
    <v>Unterstützt von Refinitiv</v>
    <v>0</v>
    <v>1</v>
    <v>FANUC CORPORATION (OTCM:FANUY)</v>
    <v>3</v>
    <v>40</v>
    <v>Finance</v>
    <v>7</v>
    <v>23</v>
    <v>11.48</v>
    <v>8.5000000000000006E-2</v>
    <v>4.352E-3</v>
    <v>982383500</v>
    <v>Fanuc Corp ist ein in Japan ansässiges Unternehmen, das sich hauptsächlich mit der Entwicklung, Herstellung und dem Verkauf von computergesteuerten Steuersystemen (CNC) befasst, die in Produktionssystemen durch Automatisierung und deren Anwendungsprodukten auf CNC-Systemtechnologie als umfassender Anbieter von Fabrikautomatisierung (FA) eingesetzt werden. Der Geschäftsbereich FA ist in der Entwicklung, Herstellung und dem Verkauf von FA-Produkten wie CNC-Systemen und Laserprodukten tätig. Der Geschäftsbereich Robot ist in der Entwicklung, Herstellung und dem Verkauf von Robotersystemen und anderen Roboterprodukten tätig. Der Geschäftsbereich Robot Machine beschäftigt sich mit der Entwicklung, Herstellung und dem Verkauf von kleinen Schneidemaschinen, elektrischen Spritzgussmaschinen, Drahtreladewerkzeugen und anderen Produkten.</v>
    <v>1.4244000000000001</v>
    <v>6513203000000</v>
    <v>OTC Markets</v>
    <v>OTCM</v>
    <v>OTCM</v>
    <v>3580, Shibokusa, Oshino-mura, MINAMITSURU-GUN, YAMANASHI-KEN, 401-0597 JP</v>
    <v>20.45</v>
    <v>Machinery, Equipment &amp; Components</v>
    <v>Aktie</v>
    <v>0</v>
    <v>309</v>
    <v>46128.729255983591</v>
    <v>10113</v>
    <v>FANUC CORPORATION</v>
    <v>19.55</v>
    <v>FANUC CORPORATION</v>
    <v>20.45</v>
    <v>19.614999999999998</v>
    <v>19.53</v>
    <v>FANUY</v>
    <v>FANUC CORPORATION (OTCM:FANUY)</v>
    <v>1972</v>
    <v>181061</v>
    <v>4935190</v>
    <v>USD</v>
  </rv>
  <rv s="2">
    <v>310</v>
  </rv>
  <rv s="0">
    <v>https://www.bing.com/financeapi/forcetrigger?t=a244ur&amp;q=XNAS%3aTER&amp;form=skydnc</v>
    <v>Learn more on Bing</v>
  </rv>
  <rv s="1">
    <v>de-DE</v>
    <v>a244ur</v>
    <v>268435456</v>
    <v>1</v>
    <v>Unterstützt von Refinitiv</v>
    <v>0</v>
    <v>1</v>
    <v>TERADYNE, INC. (XNAS:TER)</v>
    <v>3</v>
    <v>4</v>
    <v>Finance</v>
    <v>5</v>
    <v>373</v>
    <v>68.239999999999995</v>
    <v>-2.665</v>
    <v>-7.3019999999999995E-3</v>
    <v>156559400</v>
    <v>Teradyne, Inc. Ist ein globaler Anbieter von automatisierten Testgeräten und Robotiklösungen. Das Unternehmen entwirft, entwickelt, produziert und verkauft automatisierte Testsysteme und Robotikprodukte. Das Segment umfasst Halbleitertest, Robotik und Produkttest. Das Segment Halbleitertest umfasst Tätigkeiten im Zusammenhang mit der Entwicklung, Herstellung und Vermarktung von Halbleitertestprodukten und -Dienstleistungen, einschließlich Speicher- und Testprodukten auf Systemebene. Das Segment Robotik umfasst Tätigkeiten im Zusammenhang mit der Entwicklung, Herstellung und Vermarktung von kollaborativen Roboterarmen und autonomen mobilen Robotern. Das Segment Product Test umfasst Aktivitäten im Zusammenhang mit der Entwicklung, Herstellung und Vermarktung von Produkten und Dienstleistungen für Verteidigungs-/Luft- und Raumfahrttests, Leiterplattentests, drahtlose Testsysteme und Silizium-Photonik-Tests. Das Angebot umfasst auch Prüfgeräte und -Systeme für die Verteidigung/Luft- und Raumfahrt, Test- und Inspektionssysteme für Leiterplatten (Produktionsplatinen-Test) und drahtlose Testsysteme.</v>
    <v>1.8712</v>
    <v>56720687823</v>
    <v>Nasdaq Stock Market</v>
    <v>XNAS</v>
    <v>XNAS</v>
    <v>600 Riverpark Dr, NORTH READING, MA, 01864-2634 US</v>
    <v>369.3</v>
    <v>Semiconductors &amp; Semiconductor Equipment</v>
    <v>Aktie</v>
    <v>104.0181</v>
    <v>312</v>
    <v>46128.740008043751</v>
    <v>6600</v>
    <v>TERADYNE, INC.</v>
    <v>358.19</v>
    <v>TERADYNE, INC.</v>
    <v>365.74</v>
    <v>362.29500000000002</v>
    <v>364.96</v>
    <v>TER</v>
    <v>TERADYNE, INC. (XNAS:TER)</v>
    <v>1960</v>
    <v>902725</v>
    <v>3020411</v>
    <v>USD</v>
  </rv>
  <rv s="2">
    <v>313</v>
  </rv>
  <rv s="0">
    <v>https://www.bing.com/financeapi/forcetrigger?t=bzwqf2&amp;q=XNAS%3aSYM&amp;form=skydnc</v>
    <v>Learn more on Bing</v>
  </rv>
  <rv s="1">
    <v>de-DE</v>
    <v>bzwqf2</v>
    <v>268435456</v>
    <v>1</v>
    <v>Unterstützt von Refinitiv</v>
    <v>0</v>
    <v>1</v>
    <v>SYMBOTIC INC. (XNAS:SYM)</v>
    <v>3</v>
    <v>4</v>
    <v>Finance</v>
    <v>5</v>
    <v>87.88</v>
    <v>19.14</v>
    <v>0.56499999999999995</v>
    <v>9.6189999999999991E-3</v>
    <v>602171800</v>
    <v>Symbotic Inc. ist ein Automatisierungstechnologie-Unternehmen, das die Lieferkette mit einer durchgängigen, Künstlichen Intelligenz (KI) betriebenen Robotik- und Softwareplattform neu definiert. Sie entwickelt, vermarktet und implementiert End-to-End-Technologielösungen, die den Betrieb der Lieferkette verbessern. Es automatisiert die Verarbeitung von Paletten und Kartons in großen Lagern oder Vertriebszentren für einige der Einzelhandels- und Großhandelsunternehmen weltweit. Die Symbotic-Plattform basiert auf einem Ansatz, die Hersteller von Waren mit den Endverbrauchern in einer Weise zu verbinden, die die Unstimmigkeiten zwischen Menge, Zeitpunkt und Ort zwischen den beiden löst und gleichzeitig die Kosten senkt. Es verwendet vollständig autonome Roboter, die gemeinsam von seiner KI-fähigen Systemsoftware gesteuert werden, um maßstäbliche, reale Verbesserungen der Lieferkette zu erzielen. Es bedient verschiedene Branchen: Einzelhandel, Lebensmittelgroßhandel, Konsumgüter, allgemeine Einzelhandelswaren, Schuhe und Bekleidung, und Speisen und Getränke.</v>
    <v>2.1002000000000001</v>
    <v>35711798599</v>
    <v>Nasdaq Stock Market</v>
    <v>XNAS</v>
    <v>XNAS</v>
    <v>200 Research Drive, WILMINGTON, MA, 01887 US</v>
    <v>59.73</v>
    <v>Machinery, Equipment &amp; Components</v>
    <v>Aktie</v>
    <v>0</v>
    <v>315</v>
    <v>46128.740042140627</v>
    <v>2000</v>
    <v>SYMBOTIC INC.</v>
    <v>57.234999999999999</v>
    <v>SYMBOTIC INC.</v>
    <v>59.18</v>
    <v>59.305</v>
    <v>58.74</v>
    <v>SYM</v>
    <v>SYMBOTIC INC. (XNAS:SYM)</v>
    <v>2022</v>
    <v>502610</v>
    <v>1258403</v>
    <v>USD</v>
  </rv>
  <rv s="2">
    <v>316</v>
  </rv>
  <rv s="0">
    <v>https://www.bing.com/financeapi/forcetrigger?t=a26fww&amp;q=XNAS%3aZBRA&amp;form=skydnc</v>
    <v>Learn more on Bing</v>
  </rv>
  <rv s="1">
    <v>de-DE</v>
    <v>a26fww</v>
    <v>268435456</v>
    <v>1</v>
    <v>Unterstützt von Refinitiv</v>
    <v>0</v>
    <v>1</v>
    <v>ZEBRA TECHNOLOGIES CORPORATION (XNAS:ZBRA)</v>
    <v>3</v>
    <v>4</v>
    <v>Finance</v>
    <v>5</v>
    <v>352.66</v>
    <v>199.05</v>
    <v>3.45</v>
    <v>1.5023999999999999E-2</v>
    <v>48362610</v>
    <v>Zebra Technologies Corporation ist in der Branche der automatischen Identifikation und Datenerfassung (AIDC) tätig. Das Unternehmen unterstützt Organisationen bei der Überwachung, Vorwegnahme und Beschleunigung von Arbeitsabläufen, indem es ihre Mitarbeiter stärkt und sicherstellt, dass alle und alles sichtbar, vernetzt und vollständig optimiert ist. Das Portfolio umfasst Hardware, Software und Services. Das Unternehmen ist in zwei Segmenten tätig: Asset Intelligence &amp; Tracking (AIT) und Enterprise Visibility &amp; Mobility (EVM). Das Segment AIT beschäftigt sich mit Barcode-Druck und Technologien zur Anlagenverfolgung. Zu den Produktlinien gehören Barcode- und Kartendrucker, RFID-Geräte (Radio Frequency Identification Devices) und Echtzeit-Ortungssysteme (RTLS) sowie Zubehör, einschließlich Etiketten zur Temperaturüberwachung, und Services. Das Segment EVM beschäftigt sich mit Lösungen zur automatischen Informations- und Datenerfassung. Zu den Produktlinien gehören Mobile Computing, Datenerfassung, stationäres industrielles Scannen und maschinelles Sehen, Services und Lösungen zur Workflow-Optimierung.</v>
    <v>1.6745000000000001</v>
    <v>11272840764</v>
    <v>Nasdaq Stock Market</v>
    <v>XNAS</v>
    <v>XNAS</v>
    <v>3 Overlook Point, LINCOLNSHIRE, IL, 60069 US</v>
    <v>233.75</v>
    <v>Electronic Equipment &amp; Parts</v>
    <v>Aktie</v>
    <v>28.539100000000001</v>
    <v>318</v>
    <v>46128.73992266172</v>
    <v>10700</v>
    <v>ZEBRA TECHNOLOGIES CORPORATION</v>
    <v>230.13499999999999</v>
    <v>ZEBRA TECHNOLOGIES CORPORATION</v>
    <v>230.36</v>
    <v>233.09</v>
    <v>229.64</v>
    <v>ZBRA</v>
    <v>ZEBRA TECHNOLOGIES CORPORATION (XNAS:ZBRA)</v>
    <v>1991</v>
    <v>406224</v>
    <v>699698</v>
    <v>USD</v>
  </rv>
  <rv s="2">
    <v>319</v>
  </rv>
  <rv s="0">
    <v>https://www.bing.com/financeapi/forcetrigger?t=a1pkf2&amp;q=XNAS%3aCGNX&amp;form=skydnc</v>
    <v>Learn more on Bing</v>
  </rv>
  <rv s="1">
    <v>de-DE</v>
    <v>a1pkf2</v>
    <v>268435456</v>
    <v>1</v>
    <v>Unterstützt von Refinitiv</v>
    <v>0</v>
    <v>1</v>
    <v>COGNEX CORPORATION (XNAS:CGNX)</v>
    <v>3</v>
    <v>4</v>
    <v>Finance</v>
    <v>5</v>
    <v>59.88</v>
    <v>22.85</v>
    <v>-5.0000000000000001E-3</v>
    <v>-9.1509999999999996E-5</v>
    <v>167013900</v>
    <v>Cognex Corporation erfindet und vermarktet Technologien, die verschiedene kritische Herausforderungen in der Fertigung und im Vertrieb angehen. Das Unternehmen ist ein weltweiter Anbieter von Bildverarbeitungsprodukten und -lösungen, die die Effizienz und Qualität in Unternehmen in allen industriellen Endmärkten verbessern. Das Unternehmen ist im Bereich der machine vision technology segment. Die Lösungen des Unternehmens kombinieren physische Produkte und Software zur Erfassung und Analyse visueller Informationen und ermöglichen so die Automatisierung von Fertigungs- und Vertriebsaufgaben für Kunden weltweit. Machine vision werden eingesetzt, um die Herstellung oder den Vertrieb und die Nachverfolgung diskreter Gegenstände wie Mobiltelefone, Batterien für Elektrofahrzeuge und E-Commerce-Pakete zu automatisieren, indem sie lokalisiert, identifiziert, inspiziert und vermessen werden. Machine vision ist wichtig für Anwendungen, bei denen das menschliche Sehen nicht ausreicht, um die Anforderungen an Größe, Genauigkeit oder Geschwindigkeit zu erfüllen, oder in Fällen, in denen erhebliche Kosteneinsparungen oder Qualitätsverbesserungen erzielt werden sollen.</v>
    <v>1.4944</v>
    <v>9124804426</v>
    <v>Nasdaq Stock Market</v>
    <v>XNAS</v>
    <v>XNAS</v>
    <v>One Vision Drive, NATICK, MA, 01760 US</v>
    <v>55.08</v>
    <v>Machinery, Equipment &amp; Components</v>
    <v>Aktie</v>
    <v>80.761300000000006</v>
    <v>321</v>
    <v>46128.740016527343</v>
    <v>2745</v>
    <v>COGNEX CORPORATION</v>
    <v>54.06</v>
    <v>COGNEX CORPORATION</v>
    <v>54.71</v>
    <v>54.634999999999998</v>
    <v>54.64</v>
    <v>CGNX</v>
    <v>COGNEX CORPORATION (XNAS:CGNX)</v>
    <v>1981</v>
    <v>414821</v>
    <v>1793570</v>
    <v>USD</v>
  </rv>
  <rv s="2">
    <v>322</v>
  </rv>
  <rv s="0">
    <v>https://www.bing.com/financeapi/forcetrigger?t=a1o4ec&amp;q=XNYS%3aBA&amp;form=skydnc</v>
    <v>Learn more on Bing</v>
  </rv>
  <rv s="1">
    <v>de-DE</v>
    <v>a1o4ec</v>
    <v>268435456</v>
    <v>1</v>
    <v>Unterstützt von Refinitiv</v>
    <v>0</v>
    <v>1</v>
    <v>THE BOEING COMPANY (XNYS:BA)</v>
    <v>3</v>
    <v>4</v>
    <v>Finance</v>
    <v>5</v>
    <v>254.34989999999999</v>
    <v>153.54499999999999</v>
    <v>-6.07</v>
    <v>-2.7107000000000003E-2</v>
    <v>785844100</v>
    <v>Boeing Company ist ein Luft- und Raumfahrtunternehmen. Zu seinen Geschäftsbereichen gehören Verkehrsflugzeuge (BCA), Verteidigung, Raumfahrt und Sicherheit (BDS) sowie Global Services (BGS). Das Segment BCA entwickelt, produziert und vermarktet Verkehrsflugzeuge hauptsächlich für die kommerzielle Luftfahrtindustrie weltweit. Die Familie der produzierten Verkehrsflugzeuge umfasst das Schmalrumpfflugzeug 737 sowie die Großraumflugzeuge 767, 777 und 787. Das Segment BDS befasst sich mit der Forschung, Entwicklung, Produktion und Modifikation von bemannten und unbemannten Militärflugzeugen und Waffensystemen für Angriff, Überwachung und Mobilität. Das Segment BGS erbringt Dienstleistungen für seine zivilen und militärischen Kunden weltweit. Es unterhält Luft- und Raumfahrtplattformen und -systeme mit einer Reihe von Produkten und Dienstleistungen, darunter Lieferketten- und Logistikmanagement, Engineering, Wartung und Modifikationen, Upgrades und Umrüstungen, Ersatzteile, Piloten- und Wartungsschulungssysteme und -dienstleistungen, technische und Wartungsdokumente und anderes.</v>
    <v>1.2033</v>
    <v>171203995626</v>
    <v>New York Stock Exchange</v>
    <v>XNYS</v>
    <v>XNYS</v>
    <v>929 Long Bridge Drive, ARLINGTON, VA, 22202 US</v>
    <v>225.1</v>
    <v>Aerospace &amp; Defense</v>
    <v>Aktie</v>
    <v>98.082099999999997</v>
    <v>324</v>
    <v>46128.740042453122</v>
    <v>182000</v>
    <v>THE BOEING COMPANY</v>
    <v>215.4</v>
    <v>THE BOEING COMPANY</v>
    <v>225</v>
    <v>217.86</v>
    <v>223.93</v>
    <v>BA</v>
    <v>THE BOEING COMPANY (XNYS:BA)</v>
    <v>1934</v>
    <v>4290664</v>
    <v>6797432</v>
    <v>USD</v>
  </rv>
  <rv s="2">
    <v>325</v>
  </rv>
  <rv s="0">
    <v>https://www.bing.com/financeapi/forcetrigger?t=a1n75r&amp;q=XNYS%3aAIRI&amp;form=skydnc</v>
    <v>Learn more on Bing</v>
  </rv>
  <rv s="1">
    <v>de-DE</v>
    <v>a1n75r</v>
    <v>268435456</v>
    <v>1</v>
    <v>Unterstützt von Refinitiv</v>
    <v>0</v>
    <v>1</v>
    <v>AIR INDUSTRIES GROUP (XNYS:AIRI)</v>
    <v>3</v>
    <v>4</v>
    <v>Finance</v>
    <v>5</v>
    <v>4.17</v>
    <v>2.5499999999999998</v>
    <v>0</v>
    <v>0</v>
    <v>4781050</v>
    <v>Die Air Industries Group ist ein Hersteller von Präzisionskomponenten und -Baugruppen für Großunternehmen in der Luft- und Raumfahrt und im Verteidigungsbereich. Zu den Produkten gehören Fahrwerke, Flugsteuerungen, Motorlager und Komponenten für Flugzeugtriebwerke, Bodenturbinen und andere komplexe Maschinen. Der Endverbraucher für die meisten seiner Produkte ist die US-Regierung, internationale Regierungen und kommerzielle globale Fluggesellschaften. Unabhängig davon, ob es sich um eine kleine Einzelkomponente oder eine komplette Baugruppe handelt, werden seine Produkte in unternehmenskritischen Operationen eingesetzt, die für die Sicherheit von Militär und Zivilisten von grundlegender Bedeutung sind. Seine Plattformen und Programme umfassen den E-2D Hawkeye, UH-60 Black Hawk Helicopter, die Pratt &amp; Whitney Geared Turbo-Fan Engine (GTF), den CH-53 Hubschrauber (einschließlich der CH53K Variante), den F-35 Lightning II (auch bekannt als Joint Strike Fighter), den F-18 Hornet und den F-15 Eagle Tactical Fighter. Zu den Tochtergesellschaften zählen Air Industries Machining, Nassau Tool Works und Sterling Engineering Company.</v>
    <v>9.1399999999999995E-2</v>
    <v>15347170</v>
    <v>New York Stock Exchange</v>
    <v>XNYS</v>
    <v>XNYS</v>
    <v>1460 Fifth Avenue, BAY SHORE, NY, 11706 US</v>
    <v>3.24</v>
    <v>Aerospace &amp; Defense</v>
    <v>Aktie</v>
    <v>0</v>
    <v>327</v>
    <v>46128.736320983597</v>
    <v>160</v>
    <v>AIR INDUSTRIES GROUP</v>
    <v>3.1669999999999998</v>
    <v>AIR INDUSTRIES GROUP</v>
    <v>3.1669999999999998</v>
    <v>3.21</v>
    <v>3.21</v>
    <v>AIRI</v>
    <v>AIR INDUSTRIES GROUP (XNYS:AIRI)</v>
    <v>2013</v>
    <v>21647</v>
    <v>55177</v>
    <v>USD</v>
  </rv>
  <rv s="2">
    <v>328</v>
  </rv>
  <rv s="0">
    <v>https://www.bing.com/financeapi/forcetrigger?t=a1wzw7&amp;q=XNYS%3aLMT&amp;form=skydnc</v>
    <v>Learn more on Bing</v>
  </rv>
  <rv s="1">
    <v>de-DE</v>
    <v>a1wzw7</v>
    <v>268435456</v>
    <v>1</v>
    <v>Unterstützt von Refinitiv</v>
    <v>0</v>
    <v>1</v>
    <v>LOCKHEED MARTIN CORPORATION (XNYS:LMT)</v>
    <v>3</v>
    <v>4</v>
    <v>Finance</v>
    <v>5</v>
    <v>692</v>
    <v>410.11</v>
    <v>-5.15</v>
    <v>-8.4270000000000005E-3</v>
    <v>230462100</v>
    <v>Lockheed Martin Corporation ist ein weltweit tätiges Luft- und Raumfahrt- sowie Verteidigungsunternehmen. Das Unternehmen befasst sich mit der Forschung, dem Design, der Entwicklung, der Herstellung, der Integration und der Wartung von Systemen, Produkten und Dienstleistungen der Spitzentechnologie. Zu den Geschäftsbereichen gehören Aeronautics, Missiles and Fire Control (MFC), Rotary and Mission Systems (RMS) und Space. Das Segment Aeronautics befasst sich mit der Forschung, dem Design, der Entwicklung, der Herstellung, der Integration, der Instandhaltung, der Unterstützung und der Aufrüstung von modernen Militärflugzeugen. Das MFC-Segment bietet unter anderem Luft- und Raketenabwehrsysteme, bemannte und unbemannte Bodenfahrzeuge sowie Energiemanagementlösungen an. Das Segment RMS entwickelt, fertigt, wartet und unterstützt verschiedene militärische und kommerzielle Hubschrauber, Überwasserschiffe, see- und landgestützte Raketenabwehrsysteme und andere. Das Segment Raumfahrt befasst sich mit der Forschung und dem Design, der Entwicklung, dem Engineering und der Produktion von Satelliten, Raumtransportsystemen und strategischen, fortschrittlichen Angriffs- und Verteidigungssystemen.</v>
    <v>0.22819999999999999</v>
    <v>139648509495</v>
    <v>New York Stock Exchange</v>
    <v>XNYS</v>
    <v>XNYS</v>
    <v>6801 ROCKLEDGE DR BETHESDA, MD, 20817 US</v>
    <v>612.57000000000005</v>
    <v>Aerospace &amp; Defense</v>
    <v>Aktie</v>
    <v>28.202000000000002</v>
    <v>330</v>
    <v>46128.74007446719</v>
    <v>123000</v>
    <v>LOCKHEED MARTIN CORPORATION</v>
    <v>601.41</v>
    <v>LOCKHEED MARTIN CORPORATION</v>
    <v>610.07000000000005</v>
    <v>605.95000000000005</v>
    <v>611.1</v>
    <v>LMT</v>
    <v>LOCKHEED MARTIN CORPORATION (XNYS:LMT)</v>
    <v>1994</v>
    <v>418700</v>
    <v>1371202</v>
    <v>USD</v>
  </rv>
  <rv s="2">
    <v>331</v>
  </rv>
  <rv s="0">
    <v>https://www.bing.com/financeapi/forcetrigger?t=a25552&amp;q=XNYS%3aRTX&amp;form=skydnc</v>
    <v>Learn more on Bing</v>
  </rv>
  <rv s="1">
    <v>de-DE</v>
    <v>a25552</v>
    <v>268435456</v>
    <v>1</v>
    <v>Unterstützt von Refinitiv</v>
    <v>0</v>
    <v>1</v>
    <v>RTX CORPORATION (XNYS:RTX)</v>
    <v>3</v>
    <v>4</v>
    <v>Finance</v>
    <v>5</v>
    <v>214.5</v>
    <v>112.63</v>
    <v>-3.1949999999999998</v>
    <v>-1.6105000000000001E-2</v>
    <v>1345974000</v>
    <v>RTX Corporation ist ein Luft- und Raumfahrt- sowie Verteidigungsunternehmen, das fortschrittliche Systeme und Dienstleistungen für kommerzielle, militärische und staatliche Kunden weltweit anbietet. Das Unternehmen ist in drei Segmenten tätig: Collins Aerospace, Pratt &amp; Whitney, und Raytheon. Das Segment Collins Aerospace bietet technologisch fortschrittliche Luft- und Raumfahrt- und Verteidigungsprodukte sowie Servicelösungen für zivile und militärische Flugzeughersteller, kommerzielle Fluggesellschaften, die Regional-, Geschäfts- und allgemeine Luftfahrt sowie für Verteidigungs- und kommerzielle Raumfahrtunternehmen. Das Segment Pratt &amp; Whitney liefert Flugzeugtriebwerke für zivile und militärische Kunden, Geschäftsflugzeuge und die allgemeine Luftfahrt. Das Segment Raytheon bietet Defensiv- und Offensivfähigkeiten zur Erkennung, Verfolgung und Abwehr von Bedrohungen für US-amerikanische und ausländische Regierungs- und Geschäftskunden. Raytheon entwirft, entwickelt und liefert fortschrittliche Fähigkeiten in den Bereichen integrierte Luft- und Raketenabwehr, intelligente Waffen, Raketen und andere.</v>
    <v>0.40310000000000001</v>
    <v>262727394930</v>
    <v>New York Stock Exchange</v>
    <v>XNYS</v>
    <v>XNYS</v>
    <v>1000 Wilson Blvd, ARLINGTON, VA, 22209 US</v>
    <v>199.92</v>
    <v>Aerospace &amp; Defense</v>
    <v>Aktie</v>
    <v>39.3292</v>
    <v>333</v>
    <v>46128.740028726563</v>
    <v>180000</v>
    <v>RTX CORPORATION</v>
    <v>193.91</v>
    <v>RTX CORPORATION</v>
    <v>198.4</v>
    <v>195.19499999999999</v>
    <v>198.39</v>
    <v>RTX</v>
    <v>RTX CORPORATION (XNYS:RTX)</v>
    <v>1934</v>
    <v>1942438</v>
    <v>4403418</v>
    <v>USD</v>
  </rv>
  <rv s="2">
    <v>334</v>
  </rv>
  <rv s="0">
    <v>https://www.bing.com/financeapi/forcetrigger?t=a1yngh&amp;q=XNYS%3aNOC&amp;form=skydnc</v>
    <v>Learn more on Bing</v>
  </rv>
  <rv s="1">
    <v>de-DE</v>
    <v>a1yngh</v>
    <v>268435456</v>
    <v>1</v>
    <v>Unterstützt von Refinitiv</v>
    <v>0</v>
    <v>1</v>
    <v>NORTHROP GRUMMAN CORPORATION (XNYS:NOC)</v>
    <v>3</v>
    <v>4</v>
    <v>Finance</v>
    <v>5</v>
    <v>774</v>
    <v>450.13</v>
    <v>-5.0199999999999996</v>
    <v>-7.3980000000000001E-3</v>
    <v>142033200</v>
    <v>Die Northrop Grumman Corporation ist ein weltweit tätiges Unternehmen in der Luft- und Raumfahrt sowie in der Verteidigungstechnik. Zu den Segmenten gehören Aeronautics Systems, Defense Systems, Mission Systems und Space Systems. Aeronautics Systems beschäftigt sich mit Entwurf, Entwicklung, Produktion, Integration, Erhaltung und Modernisierung von militärischen Flugzeugsystemen für die United States Air Force, die United States Navy, andere Regierungsbehörden der Vereinigten Staaten und internationale Kunden. Defense Systems beschäftigt sich mit der Entwicklung, Entwicklung, Integration und Herstellung von Abschreckungssystemen, fortschrittlichen taktischen Waffen und Raketenabwehrlösungen. Mission Systems ist ein Anbieter von Missionslösungen und Multifunktionssystemen. Zu den Produkten und Dienstleistungen des Unternehmens gehören Befehls-, Steuerungs-, Kommunikations- und Computersysteme sowie Aufklärungssysteme (C4ISR). Space Systems bietet End-to-End-Missionslösungen durch Design, Entwicklung, Integration, Produktion und Betrieb von Raumfahrt-, Raketenabwehr- und Trägersystemen.</v>
    <v>4.5999999999999999E-3</v>
    <v>95669302524</v>
    <v>New York Stock Exchange</v>
    <v>XNYS</v>
    <v>XNYS</v>
    <v>2980 Fairview Park Drive, FALLS CHURCH, VA, 22042 US</v>
    <v>680.23500000000001</v>
    <v>Aerospace &amp; Defense</v>
    <v>Aktie</v>
    <v>23.161000000000001</v>
    <v>336</v>
    <v>46128.740026793748</v>
    <v>95000</v>
    <v>NORTHROP GRUMMAN CORPORATION</v>
    <v>669.89499999999998</v>
    <v>NORTHROP GRUMMAN CORPORATION</v>
    <v>679</v>
    <v>673.57</v>
    <v>678.59</v>
    <v>NOC</v>
    <v>NORTHROP GRUMMAN CORPORATION (XNYS:NOC)</v>
    <v>2010</v>
    <v>222382</v>
    <v>728995</v>
    <v>USD</v>
  </rv>
  <rv s="2">
    <v>337</v>
  </rv>
  <rv s="0">
    <v>https://www.bing.com/financeapi/forcetrigger?t=a1tppr&amp;q=XNYS%3aGD&amp;form=skydnc</v>
    <v>Learn more on Bing</v>
  </rv>
  <rv s="1">
    <v>de-DE</v>
    <v>a1tppr</v>
    <v>268435456</v>
    <v>1</v>
    <v>Unterstützt von Refinitiv</v>
    <v>0</v>
    <v>1</v>
    <v>GENERAL DYNAMICS CORPORATION (XNYS:GD)</v>
    <v>3</v>
    <v>4</v>
    <v>Finance</v>
    <v>5</v>
    <v>369.7</v>
    <v>262.83999999999997</v>
    <v>-5.71</v>
    <v>-1.685E-2</v>
    <v>270845900</v>
    <v>General Dynamics Corporation ist ein globales Luft- und Raumfahrt- sowie Verteidigungsunternehmen. Es bietet ein Portfolio von Produkten und Dienstleistungen in den Bereichen Geschäftsluftfahrt, Schiffsbau und -reparatur, Landkampffahrzeuge, Waffensysteme und Munition sowie Technologieprodukte und -dienstleistungen. Zu den Segmenten gehören Luft- und Raumfahrt, Marinesysteme, Kampfsysteme und Technologien. Das Segment Luft- und Raumfahrt produziert Geschäftsreiseflugzeuge und ist führend in den Bereichen Flugzeuge neuer Technologie, Flugzeugreparatur, Kundensupport und kundenspezifische Fertigstellungsdienstleistungen. Das Segment Marinesysteme entwickelt und baut atomgetriebene U-Boote und beschäftigt sich mit der Entwicklung und dem Bau von Überwasserkampfschiffen und Hilfsschiffen für die US Navy. Das Segment Kampfsysteme fertigt weltweit Landkampflösungen, darunter Rad- und Kettenkampffahrzeuge, Waffensysteme und Munition. Das Segment Technologien bietet ein umfassendes Spektrum an Dienstleistungen, Technologien und Produkten für eine Reihe von Kunden aus den Bereichen Militär, Geheimdienste, Bund, Zivilbevölkerung und Länder.</v>
    <v>0.3518</v>
    <v>90237728503</v>
    <v>New York Stock Exchange</v>
    <v>XNYS</v>
    <v>XNYS</v>
    <v>11011 Sunset Hills Rd, RESTON, VA, 20190 US</v>
    <v>341.3</v>
    <v>Aerospace &amp; Defense</v>
    <v>Aktie</v>
    <v>21.559100000000001</v>
    <v>339</v>
    <v>46128.74001857578</v>
    <v>117000</v>
    <v>GENERAL DYNAMICS CORPORATION</v>
    <v>331.92</v>
    <v>GENERAL DYNAMICS CORPORATION</v>
    <v>340.59</v>
    <v>333.17</v>
    <v>338.88</v>
    <v>GD</v>
    <v>GENERAL DYNAMICS CORPORATION (XNYS:GD)</v>
    <v>1952</v>
    <v>691677</v>
    <v>1331944</v>
    <v>USD</v>
  </rv>
  <rv s="2">
    <v>340</v>
  </rv>
  <rv s="0">
    <v>https://www.bing.com/financeapi/forcetrigger?t=ae9y1h&amp;q=XPAR%3aSAF&amp;form=skydnc</v>
    <v>Learn more on Bing</v>
  </rv>
  <rv s="1">
    <v>de-DE</v>
    <v>ae9y1h</v>
    <v>268435456</v>
    <v>1</v>
    <v>Unterstützt von Refinitiv</v>
    <v>0</v>
    <v>1</v>
    <v>Safran SA (XPAR:SAF)</v>
    <v>3</v>
    <v>6</v>
    <v>Finance</v>
    <v>7</v>
    <v>350.8</v>
    <v>206</v>
    <v>-10.6</v>
    <v>-3.4325999999999995E-2</v>
    <v>418344600</v>
    <v>Safran SA ist ein in Frankreich ansässiges Unternehmen. Das Unternehmen ist ein Hightech-Konzern, der in den Bereichen Forschung, Konstruktion, Entwicklung, Erprobung, Fertigung, Vertrieb, Wartung und Support für fortschrittliche Luftfahrt- und Verteidigungssysteme tätig ist. Es ist in drei Hauptsegmenten tätig: Aerospace Propulsion, das Antriebs- und mechanische Kraftübertragungssysteme für zivile und militärische Flugzeuge, Hubschrauber, Satelliten und Drohnen entwickelt und produziert, sowie damit verbundene MRO- und Ersatzteildienstleistungen; Aircraft Equipment, das Landungs- und Bremssysteme, Triebwerkssysteme und -ausrüstung, elektrische Systeme und Technik, Luftfahrtsysteme sowie Elektronik und Verteidigung umfasst; und Aircraft Interiors, das Flugzeugsitze, Kabineneinrichtungen, Schränke, Bordunterhaltungssysteme und Cockpitausrüstung umfasst.</v>
    <v>1.2262</v>
    <v>136296700000</v>
    <v>Euronext Paris</v>
    <v>XPAR</v>
    <v>XPAR</v>
    <v>2, Boulevard du General Martial Valin, PARIS, ILE-DE-FRANCE, 75015 FR</v>
    <v>311.2</v>
    <v>Aerospace &amp; Defense</v>
    <v>Aktie</v>
    <v>14.838800000000001</v>
    <v>342</v>
    <v>46128.666666666664</v>
    <v>110535</v>
    <v>Safran SA</v>
    <v>298.2</v>
    <v>Safran SA</v>
    <v>309.2</v>
    <v>298.2</v>
    <v>308.8</v>
    <v>SAF</v>
    <v>Safran SA (XPAR:SAF)</v>
    <v>1956</v>
    <v>716286</v>
    <v>825750</v>
    <v>EUR</v>
  </rv>
  <rv s="2">
    <v>343</v>
  </rv>
  <rv s="0">
    <v>https://www.bing.com/financeapi/forcetrigger?t=bwtkp2&amp;q=XNAS%3aRKLB&amp;form=skydnc</v>
    <v>Learn more on Bing</v>
  </rv>
  <rv s="1">
    <v>de-DE</v>
    <v>bwtkp2</v>
    <v>268435456</v>
    <v>1</v>
    <v>Unterstützt von Refinitiv</v>
    <v>0</v>
    <v>1</v>
    <v>ROCKET LAB CORPORATION (XNAS:RKLB)</v>
    <v>3</v>
    <v>4</v>
    <v>Finance</v>
    <v>5</v>
    <v>99.58</v>
    <v>18.21</v>
    <v>8.66</v>
    <v>0.11766299999999999</v>
    <v>577934400</v>
    <v>Rocket Lab Corporation ist ein durchgängiges Raumfahrtunternehmen. Das Unternehmen entwickelt und produziert Raketen der kleinen und mittleren Klasse, Raumfahrzeuge und Komponenten von Raumfahrzeugen sowie zugehörige Software und Dienstleistungen zur Unterstützung der Raumfahrtwirtschaft. Das Unternehmen liefert zuverlässige Startdienste, Satellitenfertigung, Raumfahrzeugkonstruktion, Komponenten von Raumfahrzeugen, Raumfahrzeugbau, und andere Lösungen für Raumfahrzeuge und die Verwaltung auf der Umlaufbahn, die den Zugang zum Raum erleichtern. Das Segment „Launch Services“ bietet Kunden auf der Basis von Mission oder Ride-Share Services für die Markteinführung und die Markteinführung an. Das Segment Space Systems umfasst die Entwicklung und Herstellung von Komponenten für Raumfahrzeuge und Programmverwaltungsdienste für Raumfahrzeuge, Anwendungen für Raumdaten und Missionsoperationen. Die Lösungen der Raumfahrtsysteme sind die Bausteine für Raumfahrzeuge, zu denen Verbundstrukturen, Reaktionsräder, Sternverfolger, Solarlösungen, Funkgeräte, Trennsysteme und Kommandos- und Steuerungssoftware für Raumfahrzeuge.</v>
    <v>2.2706</v>
    <v>47540883744</v>
    <v>Nasdaq Stock Market</v>
    <v>XNAS</v>
    <v>XNAS</v>
    <v>3881 Mcgowen Street, LONG BEACH, CA, 90808 US</v>
    <v>82.29</v>
    <v>Aerospace &amp; Defense</v>
    <v>Aktie</v>
    <v>0</v>
    <v>345</v>
    <v>46128.740061828124</v>
    <v>2600</v>
    <v>ROCKET LAB CORPORATION</v>
    <v>76.900000000000006</v>
    <v>ROCKET LAB CORPORATION</v>
    <v>76.92</v>
    <v>82.26</v>
    <v>73.599999999999994</v>
    <v>RKLB</v>
    <v>ROCKET LAB CORPORATION (XNAS:RKLB)</v>
    <v>2025</v>
    <v>29565556</v>
    <v>24093606</v>
    <v>USD</v>
  </rv>
  <rv s="2">
    <v>346</v>
  </rv>
  <rv s="0">
    <v>https://www.bing.com/financeapi/forcetrigger?t=a1uvar&amp;q=XNYS%3aLHX&amp;form=skydnc</v>
    <v>Learn more on Bing</v>
  </rv>
  <rv s="1">
    <v>de-DE</v>
    <v>a1uvar</v>
    <v>268435456</v>
    <v>1</v>
    <v>Unterstützt von Refinitiv</v>
    <v>0</v>
    <v>1</v>
    <v>L3HARRIS TECHNOLOGIES, INC. (XNYS:LHX)</v>
    <v>3</v>
    <v>4</v>
    <v>Finance</v>
    <v>5</v>
    <v>379.23</v>
    <v>208.11009999999999</v>
    <v>-1.8774999999999999</v>
    <v>-5.2749999999999993E-3</v>
    <v>186785900</v>
    <v>L3Harris Technologies, Inc. bietet im Interesse der nationalen Sicherheit durchgängige Technologielösungen an, die die Bereiche Weltraum, Luft, Land, See und Cyberspace verbinden. Zu den Geschäftsbereichen zählen Space &amp; Airborne Systems (SAS), Integrated Mission Systems (IMS), Communication Systems (CS) und Aerojet Rocketdyne (AR). Der Geschäftsbereich SAS liefert als Haupt- und Subsystemintegrator komplette Missionslösungen in den Bereichen Weltraum, Luft und Cyberspace. Der Geschäftsbereich IMS liefert differenzierte Missionsfähigkeiten und erstklassige Systemintegration zur Unterstützung von Nachrichtendiensten, Aufklärung und Überwachung (ISR), passiver Sensorik und Zielerfassung, elektronischen Angriffen, Autonomie, Energieversorgung und Kommunikation, Netzwerken und Sensoren. CS stattet Soldaten in allen Bereichen mit Lösungen aus, die für den Missionserfolg selbst in umkämpften Umgebungen entscheidend sind. Der Geschäftsbereich AR beliefert die US-Regierung, darunter das Verteidigungsministerium, die NASA und verschiedene Hauptauftragnehmer aus der Luft- und Raumfahrt- sowie Verteidigungsbranche, mit Antriebs-, Energie- und Bewaffnungsprodukten und -systemen.</v>
    <v>0.61109999999999998</v>
    <v>66130147000</v>
    <v>New York Stock Exchange</v>
    <v>XNYS</v>
    <v>XNYS</v>
    <v>1025 W Nasa Blvd, MELBOURNE, FL, 32919-0001 US</v>
    <v>358.92570000000001</v>
    <v>Aerospace &amp; Defense</v>
    <v>Aktie</v>
    <v>41.488100000000003</v>
    <v>348</v>
    <v>46128.740019849218</v>
    <v>45000</v>
    <v>L3HARRIS TECHNOLOGIES, INC.</v>
    <v>351.72</v>
    <v>L3HARRIS TECHNOLOGIES, INC.</v>
    <v>358.21</v>
    <v>354.04250000000002</v>
    <v>355.92</v>
    <v>LHX</v>
    <v>L3HARRIS TECHNOLOGIES, INC. (XNYS:LHX)</v>
    <v>1926</v>
    <v>421076</v>
    <v>1280459</v>
    <v>USD</v>
  </rv>
  <rv s="2">
    <v>349</v>
  </rv>
  <rv s="0">
    <v>https://www.bing.com/financeapi/forcetrigger?t=a1uozr&amp;q=XNYS%3aHII&amp;form=skydnc</v>
    <v>Learn more on Bing</v>
  </rv>
  <rv s="1">
    <v>de-DE</v>
    <v>a1uozr</v>
    <v>268435456</v>
    <v>1</v>
    <v>Unterstützt von Refinitiv</v>
    <v>0</v>
    <v>1</v>
    <v>HUNTINGTON INGALLS INDUSTRIES, INC. (XNYS:HII)</v>
    <v>3</v>
    <v>4</v>
    <v>Finance</v>
    <v>5</v>
    <v>460</v>
    <v>211.49</v>
    <v>-1.7549999999999999</v>
    <v>-4.4080000000000005E-3</v>
    <v>39377170</v>
    <v>Huntington Ingalls Industries, Inc. Ist ein weltweit tätiger Anbieter von Verteidigungslösungen. Das Unternehmen liefert Schiffe und Komplettlösungen im Dienste der Nation. Es bietet wichtige Funktionen, die von Schiffen bis hin zu unbemannten Systemen, Cyber-, ISR-, KI/ML- und synthetischen Schulungen reichen. Das Unternehmen ist in drei Segmenten tätig: Ingalls Shipbuilding (Ingalls), Newport News Shipbuilding (Newport News) und Mission Technologies. Durch das Segment Ingalls entwirft und baut die Gesellschaft nicht-nukleare Schiffe für die United States Navy und Coast Guard, darunter amphibische Angriffsschiffe, Expeditionsschiffe, Oberflächenkämpfer und nationale Sicherheitsausschneider (NSC). Das Kerngeschäft des Newport News-Segments ist die Entwicklung und der Bau nuklearbetriebener Flugzeugträger und U-Boote sowie die Betankung und Überholung sowie die Deaktivierung nuklearbetriebener Flugzeugträger. Das Segment Mission Technologies des Unternehmens entwickelt integrierte Lösungen, die vernetzte, domänenübergreifende Kräfte ermöglichen.</v>
    <v>0.36180000000000001</v>
    <v>15608125758</v>
    <v>New York Stock Exchange</v>
    <v>XNYS</v>
    <v>XNYS</v>
    <v>909-7, 7J2, 4101 Washington Avenue, NEWPORT NEWS, VA, 23607 US</v>
    <v>403.94990000000001</v>
    <v>Aerospace &amp; Defense</v>
    <v>Aktie</v>
    <v>25.780200000000001</v>
    <v>351</v>
    <v>46128.740051573441</v>
    <v>44000</v>
    <v>HUNTINGTON INGALLS INDUSTRIES, INC.</v>
    <v>394.05</v>
    <v>HUNTINGTON INGALLS INDUSTRIES, INC.</v>
    <v>399.39</v>
    <v>396.375</v>
    <v>398.13</v>
    <v>HII</v>
    <v>HUNTINGTON INGALLS INDUSTRIES, INC. (XNYS:HII)</v>
    <v>2010</v>
    <v>125642</v>
    <v>469276</v>
    <v>USD</v>
  </rv>
  <rv s="2">
    <v>352</v>
  </rv>
  <rv s="0">
    <v>https://www.bing.com/financeapi/forcetrigger?t=a1waa2&amp;q=XNYS%3aJPM&amp;form=skydnc</v>
    <v>Learn more on Bing</v>
  </rv>
  <rv s="1">
    <v>de-DE</v>
    <v>a1waa2</v>
    <v>268435456</v>
    <v>1</v>
    <v>Unterstützt von Refinitiv</v>
    <v>0</v>
    <v>1</v>
    <v>JPMORGAN CHASE &amp; CO. (XNYS:JPM)</v>
    <v>3</v>
    <v>4</v>
    <v>Finance</v>
    <v>5</v>
    <v>337.25</v>
    <v>226.33600000000001</v>
    <v>2.3650000000000002</v>
    <v>7.731E-3</v>
    <v>2682220000</v>
    <v>JPMorgan Chase &amp; Co. Ist eine Finanzholdinggesellschaft. Das Unternehmen ist in den Bereichen Investment Banking, Finanzdienstleistungen für Verbraucher und kleine Unternehmen, Commercial Banking, Verarbeitung von Finanztransaktionen und Vermögensverwaltung tätig. Das Unternehmen ist in drei Segmenten tätig: Consumer &amp; Community Banking (CCB), Commercial &amp; Investment Bank (CIB) und Asset &amp; Wealth Management (AWM). Das CCB-Segment bietet Verbrauchern und kleinen Unternehmen Produkte und Dienstleistungen über Bankfilialen, Geldautomaten, Digital- und Telefonbanking an. Das CIB-Segment umfasst Banken und Zahlungen sowie Märkte und Wertpapierdienstleistungen und bietet eine Reihe von Investmentbanking, Kreditvergabe, Zahlungen, Market-Making, Finanzierung, Verwahrungs- und Wertpapierprodukte und -Dienstleistungen für eine globale Basis von Unternehmens- und institutionellen Kunden. Das AWM-Segment bietet Lösungen für die Investitions- und Vermögensverwaltung. Es bietet Lösungen für das Anlagemanagement mit mehreren Vermögenswerten, Produkte und Dienstleistungen für die Altersvorsorge, Maklervermittlung, Verwahrung, Nachlassplanung und vieles mehr.</v>
    <v>1.0363</v>
    <v>826915014900</v>
    <v>New York Stock Exchange</v>
    <v>XNYS</v>
    <v>XNYS</v>
    <v>270 Park Avenue, NEW YORK, NY, 10017 US</v>
    <v>309.85000000000002</v>
    <v>Banking Services</v>
    <v>Aktie</v>
    <v>15.4064</v>
    <v>354</v>
    <v>46128.740084791403</v>
    <v>320079</v>
    <v>JPMORGAN CHASE &amp; CO.</v>
    <v>305.2</v>
    <v>JPMORGAN CHASE &amp; CO.</v>
    <v>305.5</v>
    <v>308.29500000000002</v>
    <v>305.93</v>
    <v>JPM</v>
    <v>JPMORGAN CHASE &amp; CO. (XNYS:JPM)</v>
    <v>1968</v>
    <v>4012323</v>
    <v>10253052</v>
    <v>USD</v>
  </rv>
  <rv s="2">
    <v>355</v>
  </rv>
  <rv s="0">
    <v>https://www.bing.com/financeapi/forcetrigger?t=a1o4sm&amp;q=XNYS%3aBAC&amp;form=skydnc</v>
    <v>Learn more on Bing</v>
  </rv>
  <rv s="1">
    <v>de-DE</v>
    <v>a1o4sm</v>
    <v>268435456</v>
    <v>1</v>
    <v>Unterstützt von Refinitiv</v>
    <v>0</v>
    <v>1</v>
    <v>BANK OF AMERICA CORPORATION (XNYS:BAC)</v>
    <v>3</v>
    <v>4</v>
    <v>Finance</v>
    <v>5</v>
    <v>57.55</v>
    <v>36.494999999999997</v>
    <v>-0.60499999999999998</v>
    <v>-1.1137999999999999E-2</v>
    <v>7145709000</v>
    <v>Die Bank of America Corporation ist eine Bank Holding und eine Finanzholdinggesellschaft. Zu den Segmenten zählen Consumer Banking, Global Wealth &amp; Investment Management (GWIM), Global Banking und Global Markets. Das Segment Consumer Banking bietet Verbrauchern und kleinen Unternehmen eine Reihe von Kredit-, Bank- und Anlageprodukten und -Dienstleistungen an. Die GWIM umfasst zwei Geschäftsbereiche: Merrill Wealth Management, die maßgeschneiderte Lösungen für die Bedürfnisse der Kunden durch eine umfassende Palette von Produkten für Anlagemanagement, Maklerwesen, Banken und Altersvorsorge bietet, und Bank of America Private Bank, die umfassende Lösungen für das Vermögensmanagement bereitstellt. Das Segment Global Banking bietet eine Reihe von Produkten und Dienstleistungen im Zusammenhang mit der Kreditvergabe, integrierte Lösungen für das Betriebskapitalmanagement und Treasury sowie Underwriting- und Beratungsdienstleistungen. Das Segment Global Markets bietet Vertriebs- und Handelsdienstleistungen sowie Forschungsdienstleistungen für institutionelle Kunden in den Bereichen Festverzinsung, Kredit, Währung, Rohstoffe und Aktien.</v>
    <v>1.2562</v>
    <v>383831758935</v>
    <v>New York Stock Exchange</v>
    <v>XNYS</v>
    <v>XNYS</v>
    <v>Bank Of America Corporate Center, 100 N Tryon St, CHARLOTTE, NC, 28255 US</v>
    <v>54.51</v>
    <v>Banking Services</v>
    <v>Aktie</v>
    <v>14.1998</v>
    <v>357</v>
    <v>46128.740055450784</v>
    <v>212134</v>
    <v>BANK OF AMERICA CORPORATION</v>
    <v>53.5</v>
    <v>BANK OF AMERICA CORPORATION</v>
    <v>54.05</v>
    <v>53.715000000000003</v>
    <v>54.32</v>
    <v>BAC</v>
    <v>BANK OF AMERICA CORPORATION (XNYS:BAC)</v>
    <v>1998</v>
    <v>19730912</v>
    <v>39651676</v>
    <v>USD</v>
  </rv>
  <rv s="2">
    <v>358</v>
  </rv>
  <rv s="0">
    <v>https://www.bing.com/financeapi/forcetrigger?t=a25tgh&amp;q=XNYS%3aWFC&amp;form=skydnc</v>
    <v>Learn more on Bing</v>
  </rv>
  <rv s="1">
    <v>de-DE</v>
    <v>a25tgh</v>
    <v>268435456</v>
    <v>1</v>
    <v>Unterstützt von Refinitiv</v>
    <v>0</v>
    <v>1</v>
    <v>WELLS FARGO &amp; COMPANY (XNYS:WFC)</v>
    <v>3</v>
    <v>4</v>
    <v>Finance</v>
    <v>5</v>
    <v>97.76</v>
    <v>63.37</v>
    <v>1.2050000000000001</v>
    <v>1.5007999999999999E-2</v>
    <v>3064300000</v>
    <v>Wells Fargo &amp; Company ist ein Finanzdienstleistungsunternehmen. Das Unternehmen bietet Privatpersonen, Unternehmen und Institutionen ein breites Spektrum an Bank-, Anlage- und Hypothekenprodukten sowie Verbraucher- und Firmenkundenfinanzierungen an. Das Unternehmen ist in vier Segmenten tätig: Privatkundengeschäft und Kreditvergabe, Firmenkundengeschäft, Firmenkunden- und Investmentbanking sowie Vermögens- und Anlageverwaltung. Das Unternehmen bietet Verbrauchern Finanzprodukte und -dienstleistungen an, darunter Giro- und Sparkonten, Kredit- und Debitkarten sowie Auto-, Hypotheken- und Kleinunternehmenskredite. Darüber hinaus bietet das Unternehmen Finanzplanung, Private Banking, Anlageverwaltung und Treuhanddienste an. Darüber hinaus bietet es Unternehmen Finanzlösungen durch Produkte und Dienstleistungen wie traditionelle Geschäftskredite und Kreditlinien, Akkreditive, Asset-Based Lending und Leasing, Handelsfinanzierung, Treasury Management und Investmentbanking-Dienstleistungen.</v>
    <v>0.97870000000000001</v>
    <v>249725128500</v>
    <v>New York Stock Exchange</v>
    <v>XNYS</v>
    <v>XNYS</v>
    <v>420 Montgomery Street, SAN FRANCISCO, CA, 94104 US</v>
    <v>81.864999999999995</v>
    <v>Banking Services</v>
    <v>Aktie</v>
    <v>12.9993</v>
    <v>360</v>
    <v>46128.740079374998</v>
    <v>200999</v>
    <v>WELLS FARGO &amp; COMPANY</v>
    <v>80.03</v>
    <v>WELLS FARGO &amp; COMPANY</v>
    <v>80.099999999999994</v>
    <v>81.495000000000005</v>
    <v>80.290000000000006</v>
    <v>WFC</v>
    <v>WELLS FARGO &amp; COMPANY (XNYS:WFC)</v>
    <v>1929</v>
    <v>11344365</v>
    <v>17337141</v>
    <v>USD</v>
  </rv>
  <rv s="2">
    <v>361</v>
  </rv>
  <rv s="0">
    <v>https://www.bing.com/financeapi/forcetrigger?t=a1u7xm&amp;q=XNYS%3aGS&amp;form=skydnc</v>
    <v>Learn more on Bing</v>
  </rv>
  <rv s="1">
    <v>de-DE</v>
    <v>a1u7xm</v>
    <v>268435456</v>
    <v>1</v>
    <v>Unterstützt von Refinitiv</v>
    <v>0</v>
    <v>1</v>
    <v>THE GOLDMAN SACHS GROUP, INC. (XNYS:GS)</v>
    <v>3</v>
    <v>4</v>
    <v>Finance</v>
    <v>5</v>
    <v>984.7</v>
    <v>492.69</v>
    <v>4.63</v>
    <v>5.1470000000000005E-3</v>
    <v>294993900</v>
    <v>Die Goldman Sachs Group, Inc. Ist ein globales Finanzinstitut, das eine Reihe von Finanzdienstleistungen für eine große und diversifizierte Kundenbasis anbietet, zu der Unternehmen, Finanzinstitute, Regierungen und Einzelpersonen gehören. Zu den Segmenten zählen Global Banking &amp; Markets, Asset &amp; Wealth Management und Plattformlösungen. Das Segment Global Banking &amp; Markets bietet eine Reihe von Dienstleistungen an, darunter Finanzierung, Beratung, Risikoverteilung und Hedging für institutionelle und Unternehmenskunden. Sie erleichtert Kundentransaktionen und macht Märkte für festverzinsliche, Aktien-, Währungs- und Rohstoffprodukte. Das Segment Asset &amp; Wealth Management verwaltet Anlagen und bietet Anlageprodukte über alle Anlageklassen hinweg für verschiedene Kunden an. Sie bietet auch Lösungen für Investitionen und Vermögensberatung. Das Segment Plattformlösungen umfasst Verbraucherplattformen, wie Partnerschaften, die Kreditkarten und POS-Finanzierungen anbieten, sowie Transaction Banking und andere Plattformunternehmen.</v>
    <v>1.2902</v>
    <v>266709884868</v>
    <v>New York Stock Exchange</v>
    <v>XNYS</v>
    <v>XNYS</v>
    <v>200 West St, NEW YORK, NY, 10282 US</v>
    <v>907.96</v>
    <v>Investment Banking &amp; Investment Services</v>
    <v>Aktie</v>
    <v>17.623999999999999</v>
    <v>363</v>
    <v>46128.739959883591</v>
    <v>47000</v>
    <v>THE GOLDMAN SACHS GROUP, INC.</v>
    <v>895.8501</v>
    <v>THE GOLDMAN SACHS GROUP, INC.</v>
    <v>897.07</v>
    <v>904.12</v>
    <v>899.49</v>
    <v>GS</v>
    <v>THE GOLDMAN SACHS GROUP, INC. (XNYS:GS)</v>
    <v>1998</v>
    <v>880601</v>
    <v>2214108</v>
    <v>USD</v>
  </rv>
  <rv s="2">
    <v>364</v>
  </rv>
  <rv s="0">
    <v>https://www.bing.com/financeapi/forcetrigger?t=a1xyjc&amp;q=XNYS%3aMS&amp;form=skydnc</v>
    <v>Learn more on Bing</v>
  </rv>
  <rv s="1">
    <v>de-DE</v>
    <v>a1xyjc</v>
    <v>268435456</v>
    <v>1</v>
    <v>Unterstützt von Refinitiv</v>
    <v>0</v>
    <v>1</v>
    <v>MORGAN STANLEY (XNYS:MS)</v>
    <v>3</v>
    <v>4</v>
    <v>Finance</v>
    <v>5</v>
    <v>194.59</v>
    <v>104.78</v>
    <v>-3.3</v>
    <v>-1.7222000000000001E-2</v>
    <v>1581387000</v>
    <v>Morgan Stanley ist ein weltweit tätiges Finanzdienstleistungsunternehmen. Das Unternehmen bietet eine Reihe von Dienstleistungen im Bereich Investment Banking, Wertpapiere, Vermögensverwaltung und Anlagemanagement an. Zu den Segmenten gehören institutionelle Wertpapiere, Wealth Management und Investment Management. Das Segment Institutional Securities bietet Unternehmen, Regierungen, Finanzinstituten und vermögenden Kunden eine Vielzahl von Produkten und Dienstleistungen an. Das Segment Wealth Management bietet ein umfassendes Angebot an Finanzdienstleistungen und -Lösungen für einzelne Investoren sowie kleine und mittlere Unternehmen und Institutionen. Das Segment Investment Management bietet eine Reihe von Anlagestrategien und -Produkten, die geografische Regionen, Anlageklassen sowie öffentliche und private Märkte für eine Vielzahl von Kunden über institutionelle und zwischengeschaltete Kanäle abdecken. Es ist in über 42 Ländern tätig und betreut Kunden weltweit, darunter Unternehmen, Regierungen, Institutionen und Einzelpersonen.</v>
    <v>1.2234</v>
    <v>297806799840</v>
    <v>New York Stock Exchange</v>
    <v>XNYS</v>
    <v>XNYS</v>
    <v>1585 Broadway, NEW YORK, NY, 10036 US</v>
    <v>192.51</v>
    <v>Investment Banking &amp; Investment Services</v>
    <v>Aktie</v>
    <v>18.448599999999999</v>
    <v>366</v>
    <v>46128.740056839844</v>
    <v>83922</v>
    <v>MORGAN STANLEY</v>
    <v>187.39</v>
    <v>MORGAN STANLEY</v>
    <v>190.88</v>
    <v>188.32</v>
    <v>191.62</v>
    <v>MS</v>
    <v>MORGAN STANLEY (XNYS:MS)</v>
    <v>1981</v>
    <v>4070482</v>
    <v>7136948</v>
    <v>USD</v>
  </rv>
  <rv s="2">
    <v>367</v>
  </rv>
  <rv s="0">
    <v>https://www.bing.com/financeapi/forcetrigger?t=a1qqyc&amp;q=XNYS%3aDB&amp;form=skydnc</v>
    <v>Learn more on Bing</v>
  </rv>
  <rv s="1">
    <v>de-DE</v>
    <v>a1qqyc</v>
    <v>268435456</v>
    <v>1</v>
    <v>Unterstützt von Refinitiv</v>
    <v>0</v>
    <v>1</v>
    <v>Deutsche Bank Aktiengesellschaft (XNYS:DB)</v>
    <v>3</v>
    <v>19</v>
    <v>Finance</v>
    <v>5</v>
    <v>40.43</v>
    <v>22.99</v>
    <v>-0.63</v>
    <v>-1.8799999999999997E-2</v>
    <v>1910579000</v>
    <v>Deutsche Bank Aktiengesellschaft ist eine Bank und Holdinggesellschaft für ihre Tochtergesellschaften. Das Unternehmen bietet Privatpersonen, Unternehmen und institutionellen Kunden eine Reihe von Dienstleistungen wie Anlage-, Finanz- und verwandte Produkte und Dienstleistungen an. Sie ist in vier Geschäftsbereichen tätig: Unternehmensbank, Investmentbank, Privatkundenbank und Vermögensverwaltung. Der Unternehmensbereich Unternehmensbank betreut Firmenkunden und Finanzinstitute und bietet Cash Management, Handelsfinanzierung, Kreditvergabe, Devisenhandel, Treuhand- und Agenturdienstleistungen, Korrespondenzbankgeschäfte und Wertpapierdienstleistungen an. Der Unternehmensbereich Investmentbank umfasst die Bereiche Fixed Income &amp; Currencies (FIC) Sales &amp; Trading, Origination &amp; Advisory und Deutsche Bank Research. Der Unternehmensbereich Privatkundenbank konzentriert sich auf Privatkunden, vermögende Privatpersonen, Unternehmer und Familien. Der Geschäftsbereich Vermögensverwaltung firmiert unter der Marke DWS und betreut einen breit gefächerten Kundenstamm von privaten und institutionellen Anlegern weltweit.</v>
    <v>1.2509999999999999</v>
    <v>64367410000</v>
    <v>New York Stock Exchange</v>
    <v>XNYS</v>
    <v>XNYS</v>
    <v>Taunusanlage 12, FRANKFURT AM MAIN, HESSEN, 60325 DE</v>
    <v>33.549999999999997</v>
    <v>Banking Services</v>
    <v>Aktie</v>
    <v>9.4320000000000004</v>
    <v>369</v>
    <v>46128.740049524997</v>
    <v>89879</v>
    <v>Deutsche Bank Aktiengesellschaft</v>
    <v>32.825000000000003</v>
    <v>Deutsche Bank Aktiengesellschaft</v>
    <v>33.520000000000003</v>
    <v>32.880000000000003</v>
    <v>33.51</v>
    <v>DB</v>
    <v>Deutsche Bank Aktiengesellschaft (XNYS:DB)</v>
    <v>1952</v>
    <v>1857349</v>
    <v>3648826</v>
    <v>USD</v>
  </rv>
  <rv s="2">
    <v>370</v>
  </rv>
  <rv s="0">
    <v>https://www.bing.com/financeapi/forcetrigger?t=a1om4c&amp;q=XNYS%3aBLK&amp;form=skydnc</v>
    <v>Learn more on Bing</v>
  </rv>
  <rv s="1">
    <v>de-DE</v>
    <v>a1om4c</v>
    <v>268435456</v>
    <v>1</v>
    <v>Unterstützt von Refinitiv</v>
    <v>0</v>
    <v>1</v>
    <v>BLACKROCK, INC. (XNYS:BLK)</v>
    <v>3</v>
    <v>4</v>
    <v>Finance</v>
    <v>5</v>
    <v>1219.9399000000001</v>
    <v>845.82</v>
    <v>-34.340000000000003</v>
    <v>-3.2747999999999999E-2</v>
    <v>155364700</v>
    <v>BlackRock, Inc. ist eine Investmentverwaltungsgesellschaft. Das Unternehmen bietet eine Reihe von Anlagemanagement- und Technologieleistungen für institutionelle Kunden und Privatkunden an. Seine vielfältige Plattform von nach Alpha suchenden aktiven, privaten Märkten, Index- und Cash-Management-Anlagestrategien über alle Anlageklassen hinweg ermöglicht es dem Unternehmen, Anlageergebnisse und Asset Allocation-Lösungen für Kunden maßgeschneidert zu gestalten. Das Produktangebot umfasst Portfolios mit einem oder mehreren Vermögenswerten, die in Aktien, festverzinsliche Wertpapiere, Alternativen und Geldmarktinstrumente investieren. Seine Produkte werden direkt und über Intermediäre in einer Reihe von Instrumenten angeboten, darunter offene und geschlossene Investmentfonds, börsengehandelte iShares-Fonds, getrennte Konten, kollektive Investmentfonds und andere gepoolte Investmentgesellschaften. Darüber hinaus bietet das Unternehmen Technologiedienstleistungen an, darunter die Technologieplattform für Investitions- und Risikomanagement, Aladdin, Aladdin Wealth, eFront und Cachematrix. sowie Beratungsdienstleistungen und Lösungen.</v>
    <v>1.4786999999999999</v>
    <v>157580200622</v>
    <v>New York Stock Exchange</v>
    <v>XNYS</v>
    <v>XNYS</v>
    <v>50 Hudson Yards, NEW YORK, NY, 10001 US</v>
    <v>1058.4000000000001</v>
    <v>Investment Banking &amp; Investment Services</v>
    <v>Aktie</v>
    <v>29.265999999999998</v>
    <v>372</v>
    <v>46128.740073935158</v>
    <v>24900</v>
    <v>BLACKROCK, INC.</v>
    <v>1011.41</v>
    <v>BLACKROCK, INC.</v>
    <v>1055.6099999999999</v>
    <v>1014.26</v>
    <v>1048.5999999999999</v>
    <v>BLK</v>
    <v>BLACKROCK, INC. (XNYS:BLK)</v>
    <v>2024</v>
    <v>562343</v>
    <v>901399</v>
    <v>USD</v>
  </rv>
  <rv s="2">
    <v>373</v>
  </rv>
  <rv s="0">
    <v>http://it.wikipedia.org/wiki/T._Rowe_Price</v>
    <v>Wikipedia</v>
  </rv>
  <rv s="3">
    <v>39</v>
    <v>375</v>
  </rv>
  <rv s="4">
    <v>13</v>
    <v>https://www.bing.com/th?id=AMMS_4c600be848f66590834841f27e6f786d&amp;qlt=95</v>
    <v>376</v>
    <v>0</v>
    <v>https://www.bing.com/images/search?form=xlimg&amp;q=t.+rowe+price</v>
    <v>Image of T. ROWE PRICE GROUP, INC.</v>
  </rv>
  <rv s="0">
    <v>https://www.bing.com/financeapi/forcetrigger?t=a24i3m&amp;q=XNAS%3aTROW&amp;form=skydnc</v>
    <v>Learn more on Bing</v>
  </rv>
  <rv s="5">
    <v>de-DE</v>
    <v>a24i3m</v>
    <v>268435456</v>
    <v>1</v>
    <v>Unterstützt von Refinitiv</v>
    <v>8</v>
    <v>9</v>
    <v>T. ROWE PRICE GROUP, INC. (XNAS:TROW)</v>
    <v>11</v>
    <v>12</v>
    <v>Finance</v>
    <v>5</v>
    <v>118.22</v>
    <v>82.861000000000004</v>
    <v>-0.59</v>
    <v>-6.1390000000000004E-3</v>
    <v>217605900</v>
    <v>T. Rowe Price Group, Inc. Ist ein globales Asset Management-Unternehmen. Das Unternehmen bietet eine breite Palette von Anlagelösungen für Aktien, festverzinsliche Anlagen, Multi-Asset-Funktionen und alternative Funktionen für Kunden auf der ganzen Welt – von Einzelpersonen über Berater, Institutionen bis hin zu Sponsoren für Altersvorsorgepläne. Darüber hinaus erbringt es bestimmten Anlageberatungskunden damit zusammenhängende Verwaltungsdienstleistungen wie Vertrieb, Vermögensübertragungsstelle, Buchhaltung und Anteilseignerdienstleistungen, Teilnehmeraufzeichnungs- und Transferdienste für beitragsorientierte Altersvorsorgepläne, Maklerdienste, Treuhanddienste und nicht-diskretionäre Beratungsdienste durch Modellbereitstellung. Das Unternehmen vertreibt seine aktiven Investitionslösungen über eine Vielzahl von Vertriebskanälen und Fahrzeugen, um den Bedürfnissen seiner Kunden weltweit gerecht zu werden. Zu diesen Fahrzeugen gehören eine Reihe von US-Investmentfonds, kollektiven Investmentfonds, unterberatenen Fonds, getrennt verwalteten Konten und anderen gesponserten Produkten.</v>
    <v>1.5146999999999999</v>
    <v>377</v>
    <v>20785715568</v>
    <v>Nasdaq Stock Market</v>
    <v>XNAS</v>
    <v>XNAS</v>
    <v>1307 Point St, MD, 21231 US</v>
    <v>96.64</v>
    <v>Investment Banking &amp; Investment Services</v>
    <v>Aktie</v>
    <v>10.3323</v>
    <v>378</v>
    <v>46128.739895833336</v>
    <v>7773</v>
    <v>T. ROWE PRICE GROUP, INC.</v>
    <v>95.07</v>
    <v>T. ROWE PRICE GROUP, INC.</v>
    <v>96.29</v>
    <v>95.52</v>
    <v>96.11</v>
    <v>TROW</v>
    <v>T. ROWE PRICE GROUP, INC. (XNAS:TROW)</v>
    <v>2000</v>
    <v>541425</v>
    <v>2677625</v>
    <v>USD</v>
  </rv>
  <rv s="2">
    <v>379</v>
  </rv>
  <rv s="0">
    <v>https://www.bing.com/financeapi/forcetrigger?t=a1p2ar&amp;q=XNYS%3aBX&amp;form=skydnc</v>
    <v>Learn more on Bing</v>
  </rv>
  <rv s="1">
    <v>de-DE</v>
    <v>a1p2ar</v>
    <v>268435456</v>
    <v>1</v>
    <v>Unterstützt von Refinitiv</v>
    <v>0</v>
    <v>1</v>
    <v>BLACKSTONE INC. (XNYS:BX)</v>
    <v>3</v>
    <v>4</v>
    <v>Finance</v>
    <v>5</v>
    <v>190.08500000000001</v>
    <v>101.73</v>
    <v>-1.89</v>
    <v>-1.4517E-2</v>
    <v>1187767000</v>
    <v>Blackstone Inc. ist ein alternativer Vermögensverwalter. Seine Vermögensverwaltung umfasst globale Anlagestrategien mit Schwerpunkt auf Immobilien, Private Equity, Infrastruktur, Biowissenschaften, Wachstumskapital, Krediten, Sachwerten, Sekundärmärkten und Hedgefonds. Der Bereich Immobilien umfasst die Verwaltung von opportunistischen Immobilienfonds, Core+-Immobilienfonds und Immobilienkreditstrategien. Der Bereich Private Equity umfasst die Verwaltung von Flaggschiff-Corporate-Private-Equity-Fonds, branchen- und geografisch fokussierten Corporate-Private-Equity-Fonds, Core-Private-Equity-Fonds, einer Investitionsplattform und anderen. Das Segment „Kredite und Versicherungen” besteht aus Blackstone Credit &amp; Insurance, das in drei übergeordnete Strategien unterteilt ist: private Unternehmenskredite, liquide Unternehmenskredite sowie infrastruktur- und vermögensbasierte Kredite. Das Segment „Multi-Asset-Investitionen” ist in vier Anlageplattformen unterteilt: Absolute Return, Multi-Strategy, Total Portfolio Management und Public Real Assets.</v>
    <v>1.7005999999999999</v>
    <v>152390506100</v>
    <v>New York Stock Exchange</v>
    <v>XNYS</v>
    <v>XNYS</v>
    <v>345 Park Avenue, NEW YORK, NY, 10154 US</v>
    <v>132.71</v>
    <v>Investment Banking &amp; Investment Services</v>
    <v>Aktie</v>
    <v>33.139600000000002</v>
    <v>381</v>
    <v>46128.740016296091</v>
    <v>5285</v>
    <v>BLACKSTONE INC.</v>
    <v>128</v>
    <v>BLACKSTONE INC.</v>
    <v>132.15</v>
    <v>128.30000000000001</v>
    <v>130.19</v>
    <v>BX</v>
    <v>BLACKSTONE INC. (XNYS:BX)</v>
    <v>2007</v>
    <v>2858198</v>
    <v>9819870</v>
    <v>USD</v>
  </rv>
  <rv s="2">
    <v>382</v>
  </rv>
  <rv s="0">
    <v>https://www.bing.com/financeapi/forcetrigger?t=a1wj9c&amp;q=XNYS%3aKKR&amp;form=skydnc</v>
    <v>Learn more on Bing</v>
  </rv>
  <rv s="1">
    <v>de-DE</v>
    <v>a1wj9c</v>
    <v>268435456</v>
    <v>1</v>
    <v>Unterstützt von Refinitiv</v>
    <v>0</v>
    <v>1</v>
    <v>KKR &amp; CO. INC. (XNYS:KKR)</v>
    <v>3</v>
    <v>4</v>
    <v>Finance</v>
    <v>5</v>
    <v>153.87</v>
    <v>82.67</v>
    <v>-1.39</v>
    <v>-1.3385000000000001E-2</v>
    <v>891550900</v>
    <v>KKR &amp; Co. Inc. Ist eine globale Investmentfirma, die alternative Vermögensverwaltung sowie Kapitalmärkte und Versicherungslösungen anbietet. Zu den Segmenten des Unternehmens gehören Asset Management, Insurance und Strategic Holdings. Das Segment Asset Management bietet eine Reihe von Anlageverwaltungsdienstleistungen für Investmentfonds, Fahrzeuge und Konten und erbringt Kapitalmarktdienstleistungen für Portfoliounternehmen und Dritte. Das Segment Asset Management umfasst fünf Geschäftsbereiche: Private Equity, Real Assets, Kredit- und Liquid-Strategien, Kapitalmärkte und Kapitalaktivitäten. Das Versicherungssegment wird von Global Atlantic betrieben, einem US-amerikanischen Pensions- und Lebensversicherungsunternehmen, das Kunden auf individuellen und institutionellen Märkten eine Reihe von Schutz-, Legacy- und Sparprodukten sowie Rückversicherungslösungen anbietet. Global Atlantic bietet Privatpersonen feste Renten und andere. Das Segment Strategic Holdings repräsentiert seine Beteiligung an der Kernstrategie von Private Equity.</v>
    <v>1.8933</v>
    <v>91348305214</v>
    <v>New York Stock Exchange</v>
    <v>XNYS</v>
    <v>XNYS</v>
    <v>30 Hudson Yards, NEW YORK, NY, 10001 US</v>
    <v>105.36499999999999</v>
    <v>Investment Banking &amp; Investment Services</v>
    <v>Aktie</v>
    <v>43.786299999999997</v>
    <v>384</v>
    <v>46128.740101712501</v>
    <v>5043</v>
    <v>KKR &amp; CO. INC.</v>
    <v>102.11</v>
    <v>KKR &amp; CO. INC.</v>
    <v>105.17</v>
    <v>102.46</v>
    <v>103.85</v>
    <v>KKR</v>
    <v>KKR &amp; CO. INC. (XNYS:KKR)</v>
    <v>2021</v>
    <v>2083205</v>
    <v>6654679</v>
    <v>USD</v>
  </rv>
  <rv s="2">
    <v>385</v>
  </rv>
  <rv s="0">
    <v>https://www.bing.com/financeapi/forcetrigger?t=a1nlzr&amp;q=XNYS%3aAPO&amp;form=skydnc</v>
    <v>Learn more on Bing</v>
  </rv>
  <rv s="1">
    <v>de-DE</v>
    <v>a1nlzr</v>
    <v>268435456</v>
    <v>1</v>
    <v>Unterstützt von Refinitiv</v>
    <v>0</v>
    <v>1</v>
    <v>APOLLO GLOBAL MANAGEMENT, INC. (XNYS:APO)</v>
    <v>3</v>
    <v>4</v>
    <v>Finance</v>
    <v>5</v>
    <v>157.28</v>
    <v>99.56</v>
    <v>1.25</v>
    <v>1.0369999999999999E-2</v>
    <v>578247300</v>
    <v>Apollo Global Management, Inc. Ist ein globaler alternativer Asset Manager und ein Anbieter von Altersvorsorgedienstleistungen. Das Unternehmen ist in drei Segmenten tätig: Asset Management, Retirement Services und Principal Investing. Das Segment Asset Management konzentriert sich auf drei Anlagestrategien: Rendite, Hybrid und Eigenkapital. Diese Strategien spiegeln die Bandbreite der Anlagemöglichkeiten der Plattform auf der Grundlage des relativen Risikos und der Rendite wider. Das Geschäft mit Altersvorsorgedienstleistungen wird von Athene Holding Ltd (Athene) geführt, einem Finanzdienstleistungsunternehmen, das sich auf die Ausgabe, Rückversicherung und den Erwerb von Altersvorsorgeprodukten spezialisiert hat, die für die wachsende Zahl von Einzelpersonen und Institutionen entwickelt wurden, die den Rentenbedarf finanzieren wollen. Athene Produktlinien umfassen Renten- und Finanzierungsvereinbarungen. Das Segment Kapitalanlage umfasst realisierte Erträge aus Leistungsgebühren, realisierte Erträge aus Kapitalanlagen in der Bilanz sowie bestimmte zurechenbare Aufwendungen im Zusammenhang mit Unternehmensfunktionen, die das gesamte Unternehmen unterstützen.</v>
    <v>1.5035000000000001</v>
    <v>70424738667</v>
    <v>New York Stock Exchange</v>
    <v>XNYS</v>
    <v>XNYS</v>
    <v>9 West 57Th Street, 42Nd Floor, NEW YORK, NY, 10019 US</v>
    <v>122.62</v>
    <v>Collective Investments</v>
    <v>Aktie</v>
    <v>22.0518</v>
    <v>387</v>
    <v>46128.740100717187</v>
    <v>6140</v>
    <v>APOLLO GLOBAL MANAGEMENT, INC.</v>
    <v>120.28</v>
    <v>APOLLO GLOBAL MANAGEMENT, INC.</v>
    <v>121.36</v>
    <v>121.79</v>
    <v>120.54</v>
    <v>APO</v>
    <v>APOLLO GLOBAL MANAGEMENT, INC. (XNYS:APO)</v>
    <v>2021</v>
    <v>3171430</v>
    <v>5556243</v>
    <v>USD</v>
  </rv>
  <rv s="2">
    <v>388</v>
  </rv>
  <rv s="11">
    <v>de-DE</v>
    <v>c87htc</v>
    <v>268435456</v>
    <v>1</v>
    <v>Unterstützt von Refinitiv</v>
    <v>41</v>
    <v>42</v>
    <v>BROOKFIELD ASSET MANAGEMENT LTD. (XNYS:BAM)</v>
    <v>16</v>
    <v>43</v>
    <v>Finance</v>
    <v>5</v>
    <v>64.099999999999994</v>
    <v>42.2</v>
    <v>-0.33</v>
    <v>-6.7579999999999993E-3</v>
    <v>1638168000</v>
    <v>Brookfield Asset Management Ltd. ist ein globaler alternativer Asset Manager. Das Unternehmen investiert langfristig Kundenkapital mit Schwerpunkt auf Sachanlagen und wichtigen Dienstleistungsgeschäften, die das Rückgrat der globalen Wirtschaft bilden. Es bietet Investoren auf der ganzen Welt eine Reihe alternativer Anlageprodukte an, darunter öffentliche und private Pensionspläne, Stiftungen und Stiftungen, Staatsfonds, Finanzinstitute, Versicherungsgesellschaften und private Vermögensinvestoren. Seine Produkte sind in drei Kategorien unterteilt, zu denen langfristige private Fonds, permanente Kapitalgesellschaften und dauerhafte Strategien sowie liquide Strategien gehören. Diese werden in fünf Hauptstrategien investiert: Erneuerbare Energie und Übergang, Infrastruktur, Immobilien, Private Equity und Kredite.</v>
    <v>1.3665</v>
    <v>79451148000</v>
    <v>New York Stock Exchange</v>
    <v>XNYS</v>
    <v>XNYS</v>
    <v>Brookfield Place, 225 Liberty Street, 8th Floor, NEW YORK, NY, 10281-1048 US</v>
    <v>49.3</v>
    <v>Investment Banking &amp; Investment Services</v>
    <v>Aktie</v>
    <v>31.817900000000002</v>
    <v>46128.740074964844</v>
    <v>BROOKFIELD ASSET MANAGEMENT LTD.</v>
    <v>48.24</v>
    <v>BROOKFIELD ASSET MANAGEMENT LTD.</v>
    <v>49.2</v>
    <v>48.5</v>
    <v>48.83</v>
    <v>BAM</v>
    <v>BROOKFIELD ASSET MANAGEMENT LTD. (XNYS:BAM)</v>
    <v>2022</v>
    <v>1726510</v>
    <v>4119066</v>
    <v>USD</v>
  </rv>
  <rv s="2">
    <v>390</v>
  </rv>
  <rv s="0">
    <v>https://www.bing.com/financeapi/forcetrigger?t=a22n4c&amp;q=XNYS%3aSCHW&amp;form=skydnc</v>
    <v>Learn more on Bing</v>
  </rv>
  <rv s="1">
    <v>de-DE</v>
    <v>a22n4c</v>
    <v>268435456</v>
    <v>1</v>
    <v>Unterstützt von Refinitiv</v>
    <v>0</v>
    <v>1</v>
    <v>THE CHARLES SCHWAB CORPORATION (XNYS:SCHW)</v>
    <v>3</v>
    <v>4</v>
    <v>Finance</v>
    <v>5</v>
    <v>107.5</v>
    <v>73.760000000000005</v>
    <v>-6.19</v>
    <v>-6.1733000000000003E-2</v>
    <v>1738099000</v>
    <v>Charles Schwab Corporation ist eine Spar- und Kreditholdinggesellschaft. Das Unternehmen ist über seine Tochtergesellschaften in den Bereichen Vermögensverwaltung, Wertpapiermaklergeschäft, Bankgeschäfte, Vermögensverwaltung, Depotverwaltung und Finanzberatung tätig. Das Unternehmen bietet Finanzdienstleistungen für Privatpersonen und institutionelle Kunden in zwei Segmenten an: Investor Services und Advisor Services. Das Segment Investor Services bietet Privatkunden Brokerage-, Anlageberatungs-, Bank- und Treuhanddienstleistungen für Privatanleger sowie Pensionsplan- und Unternehmensdienstleistungen sowie andere Corporate-Brokerage-Dienstleistungen für Unternehmen und deren Mitarbeiter. Das Segment Advisor Services bietet Depot-, Handels-, Bank- und Treuhand- sowie Unterstützungsdienste für unabhängige registrierte Anlageberater (RIAs), unabhängige Rentenberater und Buchhalter. Zu den Produkten und Dienstleistungen gehören Brokerage, Investmentfonds, börsengehandelte Fonds (ETFs), Managed-Investing-Lösungen, alternative Anlagen, Bankgeschäfte und Treuhandgeschäfte.</v>
    <v>0.88859999999999995</v>
    <v>163520353920</v>
    <v>New York Stock Exchange</v>
    <v>XNYS</v>
    <v>XNYS</v>
    <v>3000 Schwab Way, WESTLAKE, TX, 76262 US</v>
    <v>98.75</v>
    <v>Investment Banking &amp; Investment Services</v>
    <v>Aktie</v>
    <v>20.1767</v>
    <v>392</v>
    <v>46128.740084073441</v>
    <v>33000</v>
    <v>THE CHARLES SCHWAB CORPORATION</v>
    <v>94.01</v>
    <v>THE CHARLES SCHWAB CORPORATION</v>
    <v>95.76</v>
    <v>94.08</v>
    <v>100.27</v>
    <v>SCHW</v>
    <v>THE CHARLES SCHWAB CORPORATION (XNYS:SCHW)</v>
    <v>1986</v>
    <v>12156620</v>
    <v>9059759</v>
    <v>USD</v>
  </rv>
  <rv s="2">
    <v>393</v>
  </rv>
  <rv s="0">
    <v>https://www.bing.com/financeapi/forcetrigger?t=b1ao52&amp;q=XAMS%3aADYEN&amp;form=skydnc</v>
    <v>Learn more on Bing</v>
  </rv>
  <rv s="1">
    <v>de-DE</v>
    <v>b1ao52</v>
    <v>268435456</v>
    <v>1</v>
    <v>Unterstützt von Refinitiv</v>
    <v>0</v>
    <v>1</v>
    <v>Adyen NV (XAMS:ADYEN)</v>
    <v>3</v>
    <v>6</v>
    <v>Finance</v>
    <v>7</v>
    <v>1750.4</v>
    <v>824.4</v>
    <v>-6</v>
    <v>-6.2239999999999995E-3</v>
    <v>31547680</v>
    <v>Adyen N.V., ehemals Adyen B.V., ist Anbieter von mobilen, Online- und Point-of-Sale (POS)-Zahlungslösungen mit Sitz in den Niederlanden. Es betreibt eine Online-Plattform, die es Händler ermöglicht, Zahlungen international und von allen Verkaufskanälen wie Online-Shops, mobile Zahlungen von Anwendungen und Websites sowie POS-Terminals wie Countertops, mobile Terminals, Tablets und Registrierkassen zu akzeptieren. Die Plattform deckt die gesamte Zahlungskette einschließlich technischer, vertraglicher, Abgleichs- und Abrechnungsprozesse ab. Die Plattform ist in Form von gebrauchsfertigen Zahlungsseiten (HPP), einer Anwendungsprogrammierschnittstelle (API) und einer clientseitigen Verschlüsselungslösung (EE) verfügbar. Zu den Kunden des Unternehmens zählen unter anderem Mango, KLM, Netflix, Superdry, Uber, Groupon und Crocs. Es hat Niederlassungen in den Niederlanden, Großbritannien, Frankreich, Deutschland, Belgien, Brasilien, China, Australien, Mexiko, Singapur, Spanien, Schweden und den Vereinigten Staaten.</v>
    <v>2.4112</v>
    <v>44081990000</v>
    <v>Euronext Amsterdam</v>
    <v>XAMS</v>
    <v>XAMS</v>
    <v>Simon Carmiggeltstraat 6-50, AMSTERDAM, NOORD-HOLLAND, 1011DJ NL</v>
    <v>976.6</v>
    <v>Financial Technology (Fintech) &amp; Infrastructure</v>
    <v>Aktie</v>
    <v>30.167899999999999</v>
    <v>395</v>
    <v>46128.666666666664</v>
    <v>4771</v>
    <v>Adyen NV</v>
    <v>951.8</v>
    <v>Adyen NV</v>
    <v>972</v>
    <v>958</v>
    <v>964</v>
    <v>ADYEN</v>
    <v>Adyen NV (XAMS:ADYEN)</v>
    <v>2006</v>
    <v>120793</v>
    <v>157730</v>
    <v>EUR</v>
  </rv>
  <rv s="2">
    <v>396</v>
  </rv>
  <rv s="0">
    <v>https://www.bing.com/financeapi/forcetrigger?t=a21icw&amp;q=XNAS%3aPYPL&amp;form=skydnc</v>
    <v>Learn more on Bing</v>
  </rv>
  <rv s="1">
    <v>de-DE</v>
    <v>a21icw</v>
    <v>268435456</v>
    <v>1</v>
    <v>Unterstützt von Refinitiv</v>
    <v>0</v>
    <v>1</v>
    <v>PAYPAL HOLDINGS, INC. (XNAS:PYPL)</v>
    <v>3</v>
    <v>4</v>
    <v>Finance</v>
    <v>5</v>
    <v>79.5</v>
    <v>38.46</v>
    <v>5.0000000000000001E-3</v>
    <v>1.009E-4</v>
    <v>899674000</v>
    <v>PayPal Holdings, Inc. Bietet eine Technologieplattform an. Die Produkte des Unternehmens wurden entwickelt, um digitale Zahlungen zu ermöglichen und den Handel für Verbraucher und Händler zu vereinfachen, um das Verkaufen, Einkaufen, Senden und Empfangen von Geld einfach, personalisiert und sicher zu gestalten, online oder offline, einschließlich mobil. Sie bietet Verbrauchern eine digitale Geldbörse, die es ihnen ermöglicht, Zahlungen sicher an Händler zu senden. Dazu gehören ein Bankkonto, ein PayPal- oder Venmo-Kontostand, seine Kreditprodukte, eine Kreditkarte, eine Debitkarte, bestimmte Kryptowährungen oder andere Wertprodukte. Das Unternehmen betreibt ein globales, zweiseitiges Netzwerk, das Kunden und Händler mit 434 Millionen aktiven Konten in rund 200 Märkten miteinander verbindet. Zu den Marken zählen PayPal, Braintree, Venmo, Xoom, Hyperwallet, PayPal Zettle, PayPal Honey und Paidy. Es bietet Finanzierungsprodukte über das PayPal Working Capital (PPWC) und das PayPal Business Loan (PPBL) an.</v>
    <v>1.41</v>
    <v>44601338550</v>
    <v>Nasdaq Stock Market</v>
    <v>XNAS</v>
    <v>XNAS</v>
    <v>2211 N 1st St, SAN JOSE, CA, 95131 US</v>
    <v>49.84</v>
    <v>Professional &amp; Commercial Services</v>
    <v>Aktie</v>
    <v>9.1453000000000007</v>
    <v>398</v>
    <v>46128.739974027347</v>
    <v>23800</v>
    <v>PAYPAL HOLDINGS, INC.</v>
    <v>48.35</v>
    <v>PAYPAL HOLDINGS, INC.</v>
    <v>48.36</v>
    <v>49.575000000000003</v>
    <v>49.57</v>
    <v>PYPL</v>
    <v>PAYPAL HOLDINGS, INC. (XNAS:PYPL)</v>
    <v>2015</v>
    <v>7458812</v>
    <v>16077938</v>
    <v>USD</v>
  </rv>
  <rv s="2">
    <v>399</v>
  </rv>
  <rv s="0">
    <v>https://www.bing.com/financeapi/forcetrigger?t=c4e5vh&amp;q=XNYS%3aNU&amp;form=skydnc</v>
    <v>Learn more on Bing</v>
  </rv>
  <rv s="1">
    <v>de-DE</v>
    <v>c4e5vh</v>
    <v>268435456</v>
    <v>1</v>
    <v>Unterstützt von Refinitiv</v>
    <v>0</v>
    <v>1</v>
    <v>Nu Holdings Ltd. (XNYS:NU)</v>
    <v>3</v>
    <v>4</v>
    <v>Finance</v>
    <v>5</v>
    <v>18.98</v>
    <v>10.55</v>
    <v>0.04</v>
    <v>2.6079999999999996E-3</v>
    <v>4860599000</v>
    <v>Nu Holdings Ltd ist eine in Brasilien ansässige Holdinggesellschaft, die digitale Bankdienstleistungen anbietet. Das Unternehmen bietet seinen Kunden Produkte in den fünf Finanzperioden an: Ausgaben, Einsparungen, Investitionen, Kreditaufnahme und Schutz. Die Ausgabelösungen sind darauf ausgelegt, Kunden bei der Bezahlung von Waren und Dienstleistungen im täglichen Leben mit einer individuellen Kreditlinie oder sofort über ein Mobiltelefon zu unterstützen und dabei Treuepunkte und Prämien für entsprechende Transaktionen zu sammeln. Die Sparlösungen sind darauf ausgelegt, Kunden bei der Einzahlung, Verwaltung und Einsparung ihres Geldes auf Zinserträgen mit zusätzlichen Debitkarten zu unterstützen. Seine Investitionslösungen sind darauf ausgelegt, Kunden dabei zu unterstützen, ihr Geld in Anlageprodukte und -Dienstleistungen zu investieren. Die Darlehenslösungen wurden entwickelt, um Kunden ungesicherte Kredite zu bieten, die leicht entgegenzunehmen, zu verwalten und zurückzuzahlen sind. Die Schutzlösungen sollen Kunden dabei unterstützen, Lebensversicherungen und Bestattungsleistungen zu sichern.</v>
    <v>1.0918000000000001</v>
    <v>74756012620</v>
    <v>New York Stock Exchange</v>
    <v>XNYS</v>
    <v>XNYS</v>
    <v>Rua Capote Valente, 39, Pinheiros, SAO PAULO, SAO PAULO, 05.409-000 BR</v>
    <v>15.565</v>
    <v>Banking Services</v>
    <v>Aktie</v>
    <v>26.152000000000001</v>
    <v>401</v>
    <v>46128.74007982578</v>
    <v>10027</v>
    <v>Nu Holdings Ltd.</v>
    <v>15.29</v>
    <v>Nu Holdings Ltd.</v>
    <v>15.45</v>
    <v>15.38</v>
    <v>15.34</v>
    <v>NU</v>
    <v>Nu Holdings Ltd. (XNYS:NU)</v>
    <v>2016</v>
    <v>16821031</v>
    <v>51397238</v>
    <v>USD</v>
  </rv>
  <rv s="2">
    <v>402</v>
  </rv>
  <rv s="0">
    <v>https://www.bing.com/financeapi/forcetrigger?t=bwxxoc&amp;q=XNAS%3aSOFI&amp;form=skydnc</v>
    <v>Learn more on Bing</v>
  </rv>
  <rv s="1">
    <v>de-DE</v>
    <v>bwxxoc</v>
    <v>268435456</v>
    <v>1</v>
    <v>Unterstützt von Refinitiv</v>
    <v>0</v>
    <v>1</v>
    <v>SOFI TECHNOLOGIES, INC. (XNAS:SOFI)</v>
    <v>3</v>
    <v>4</v>
    <v>Finance</v>
    <v>5</v>
    <v>32.729999999999997</v>
    <v>10.41</v>
    <v>0.36</v>
    <v>1.9158999999999999E-2</v>
    <v>1275264000</v>
    <v>Sofi Technologies, Inc. Ist ein auf Mitglieder ausgerichteter, zentraler Shop für digitale Finanzdienstleistungen. Das Unternehmen ermöglicht es seinen Mitgliedern durch seine Kredit- und Finanzdienstleistungsprodukte, ihr Geld zu leihen, zu sparen, auszugeben, zu investieren und zu schützen. Zu den Segmenten des Unternehmens gehören Kreditvergabe, Technologieplattform und Finanzdienstleistungen. Das Kreditsegment bietet Privatdarlehen, Studentendarlehen, Wohnungsdarlehen und damit verbundene Dienstleistungen an, um seinen Mitgliedern bei einer Vielzahl von finanziellen Bedürfnissen zu helfen. Die Plattform unterstützt den gesamten Transaktionslebenszyklus, einschließlich Kreditantrag, Underwriting, Genehmigung, Finanzierung und Service. Das Segment Technology Platform bietet Services über eine breit gefächerte Suite von Angeboten, darunter eine Veranstaltungs- und Autorisierungsplattform, auf die über Anwendungsprogrammierschnittstellen zugegriffen wird, eine Cloud-native digitale und Core Banking-Plattform sowie Dienste in Verbindung mit beiden Plattformen. Das Segment Financial Services bietet eine Reihe von Finanzdienstleistungslösungen, darunter SoFi Money und SoFi Invest.</v>
    <v>2.3054999999999999</v>
    <v>24421305600</v>
    <v>Nasdaq Stock Market</v>
    <v>XNAS</v>
    <v>XNAS</v>
    <v>234 1st Street, SAN FRANCISCO, CA, 94105 US</v>
    <v>19.62</v>
    <v>Banking Services</v>
    <v>Aktie</v>
    <v>50.368200000000002</v>
    <v>404</v>
    <v>46128.74004305547</v>
    <v>6100</v>
    <v>SOFI TECHNOLOGIES, INC.</v>
    <v>18.650099999999998</v>
    <v>SOFI TECHNOLOGIES, INC.</v>
    <v>19.62</v>
    <v>19.149999999999999</v>
    <v>18.79</v>
    <v>SOFI</v>
    <v>SOFI TECHNOLOGIES, INC. (XNAS:SOFI)</v>
    <v>2021</v>
    <v>53789747</v>
    <v>62087354</v>
    <v>USD</v>
  </rv>
  <rv s="2">
    <v>405</v>
  </rv>
  <rv s="0">
    <v>https://www.bing.com/financeapi/forcetrigger?t=bwvep2&amp;q=XNAS%3aAFRM&amp;form=skydnc</v>
    <v>Learn more on Bing</v>
  </rv>
  <rv s="1">
    <v>de-DE</v>
    <v>bwvep2</v>
    <v>268435456</v>
    <v>1</v>
    <v>Unterstützt von Refinitiv</v>
    <v>0</v>
    <v>1</v>
    <v>AFFIRM HOLDINGS, INC. (XNAS:AFRM)</v>
    <v>3</v>
    <v>4</v>
    <v>Finance</v>
    <v>5</v>
    <v>100</v>
    <v>39.35</v>
    <v>0.39</v>
    <v>6.5409999999999999E-3</v>
    <v>333110700</v>
    <v>Affirm Holdings, Inc. Bietet Verbrauchern eine Alternative zu herkömmlichen Zahlungsoptionen. Das Unternehmen ist am Aufbau eines Zahlungsnetzwerks beteiligt. Die Plattform umfasst drei Kernelemente: Point-of-Sale-Zahlungslösungen für Verbraucher, Handelslösungen und eine kundenorientierte App. Die Affirm App und die Website bieten maßgeschneiderte Angebote von Händlern, die auf die Präferenzen der Verbraucher abgestimmt sind. Verbraucher können sich unter affirm.com oder über die Affirm App bewerben und erhalten nach Genehmigung eine virtuelle Einwegkarte für die Online- oder Ladeneingabe. Die Affirm Card ermöglicht es Verbrauchern, ein Bankkonto zu verknüpfen, um vollständig zu zahlen oder Überstunden über die Affirm App zu zahlen. Es bietet Benutzern eine in-App-Funktion nach dem Kauf, mit der sie sofort beantragen können, ob eine berechtigte Lastschrift in ein Ratenkredit umgewandelt wird. Über die Affirm-App und in Zusammenarbeit mit der Cross River Bank bietet sie ein Sparkonto ohne Mindesteinzahlungsanforderungen oder Gebühren.</v>
    <v>3.7201</v>
    <v>19989973107</v>
    <v>Nasdaq Stock Market</v>
    <v>XNAS</v>
    <v>XNAS</v>
    <v>650 California Street, SAN FRANCISCO, CA, 94108 US</v>
    <v>61.66</v>
    <v>Financial Technology (Fintech) &amp; Infrastructure</v>
    <v>Aktie</v>
    <v>77.034700000000001</v>
    <v>407</v>
    <v>46128.740062661716</v>
    <v>2206</v>
    <v>AFFIRM HOLDINGS, INC.</v>
    <v>58.44</v>
    <v>AFFIRM HOLDINGS, INC.</v>
    <v>60.44</v>
    <v>60.01</v>
    <v>59.62</v>
    <v>AFRM</v>
    <v>AFFIRM HOLDINGS, INC. (XNAS:AFRM)</v>
    <v>2025</v>
    <v>2869366</v>
    <v>5190568</v>
    <v>USD</v>
  </rv>
  <rv s="2">
    <v>408</v>
  </rv>
  <rv s="0">
    <v>https://www.bing.com/financeapi/forcetrigger?t=c2mtww&amp;q=XNAS%3aHOOD&amp;form=skydnc</v>
    <v>Learn more on Bing</v>
  </rv>
  <rv s="1">
    <v>de-DE</v>
    <v>c2mtww</v>
    <v>268435456</v>
    <v>1</v>
    <v>Unterstützt von Refinitiv</v>
    <v>0</v>
    <v>1</v>
    <v>ROBINHOOD MARKETS, INC. (XNAS:HOOD)</v>
    <v>3</v>
    <v>4</v>
    <v>Finance</v>
    <v>5</v>
    <v>153.85990000000001</v>
    <v>39.21</v>
    <v>-0.755</v>
    <v>-8.6460000000000009E-3</v>
    <v>900308400</v>
    <v>Robinhood Markets, Inc. Erstellt eine Finanzdienstleistungsplattform für alle, unabhängig von ihrem Vermögen, Einkommen oder Hintergrund. Sie nutzt Technologie, um Zugang zum Finanzsystem zu ermöglichen. Das Angebot umfasst Brokerage, Robinhood Crypto, Custody, Robinhood Wallet, Robinhood Gold, und Robinhood Gold Card. Die Brokerage-Dienstleistungen umfassen Investitionen, Optionshandel, Teilhandel, wiederkehrende Anlagen, Zugang zu Margeninvestitionen, voll bezahlte Wertpapierleihvergabe, Cash Sweep, sofortige Abhebungen, Robinhood-Pensionierung, 24-Stunden-Markt, gemeinsame Anlagekonten und Ereignisverträge. Darüber hinaus bietet es seinen Kunden eine Vielzahl von Möglichkeiten, ihr Finanzwissen zu erweitern, darunter Robinhood Learn, in-App Education, Newsfeeds, Sherwood Snacks, und Crypto lernen und verdienen. Das selbstverrechnende System, das Bestellweiterleitungssystem, die Datenplattform und andere Backend-Infrastruktur bieten die Funktionen, mit denen sich Kunden auf Investitionen, Einsparungen und Ausgaben konzentrieren können.</v>
    <v>2.4977999999999998</v>
    <v>77935196646</v>
    <v>Nasdaq Stock Market</v>
    <v>XNAS</v>
    <v>XNAS</v>
    <v>85 Willow Road, MENLO PARK, CA, 94025 US</v>
    <v>89.379900000000006</v>
    <v>Financial Technology (Fintech) &amp; Infrastructure</v>
    <v>Aktie</v>
    <v>48.4253</v>
    <v>410</v>
    <v>46128.740115392968</v>
    <v>2900</v>
    <v>ROBINHOOD MARKETS, INC.</v>
    <v>83.87</v>
    <v>ROBINHOOD MARKETS, INC.</v>
    <v>89</v>
    <v>86.564999999999998</v>
    <v>87.32</v>
    <v>HOOD</v>
    <v>ROBINHOOD MARKETS, INC. (XNAS:HOOD)</v>
    <v>2013</v>
    <v>40363796</v>
    <v>28530715</v>
    <v>USD</v>
  </rv>
  <rv s="2">
    <v>411</v>
  </rv>
  <rv s="0">
    <v>https://www.bing.com/financeapi/forcetrigger?t=brkwgh&amp;q=OTCM%3aADYEY&amp;form=skydnc</v>
    <v>Learn more on Bing</v>
  </rv>
  <rv s="1">
    <v>de-DE</v>
    <v>brkwgh</v>
    <v>268435456</v>
    <v>1</v>
    <v>Unterstützt von Refinitiv</v>
    <v>0</v>
    <v>1</v>
    <v>Adyen NV (OTCM:ADYEY)</v>
    <v>3</v>
    <v>19</v>
    <v>Finance</v>
    <v>7</v>
    <v>19.940000000000001</v>
    <v>9.4499999999999993</v>
    <v>-0.16750000000000001</v>
    <v>-1.4771000000000001E-2</v>
    <v>31547680</v>
    <v>Adyen N.V., ehemals Adyen B.V., ist Anbieter von mobilen, Online- und Point-of-Sale (POS)-Zahlungslösungen mit Sitz in den Niederlanden. Es betreibt eine Online-Plattform, die es Händler ermöglicht, Zahlungen international und von allen Verkaufskanälen wie Online-Shops, mobile Zahlungen von Anwendungen und Websites sowie POS-Terminals wie Countertops, mobile Terminals, Tablets und Registrierkassen zu akzeptieren. Die Plattform deckt die gesamte Zahlungskette einschließlich technischer, vertraglicher, Abgleichs- und Abrechnungsprozesse ab. Die Plattform ist in Form von gebrauchsfertigen Zahlungsseiten (HPP), einer Anwendungsprogrammierschnittstelle (API) und einer clientseitigen Verschlüsselungslösung (EE) verfügbar. Zu den Kunden des Unternehmens zählen unter anderem Mango, KLM, Netflix, Superdry, Uber, Groupon und Crocs. Es hat Niederlassungen in den Niederlanden, Großbritannien, Frankreich, Deutschland, Belgien, Brasilien, China, Australien, Mexiko, Singapur, Spanien, Schweden und den Vereinigten Staaten.</v>
    <v>2.4112</v>
    <v>44081990000</v>
    <v>OTC Markets</v>
    <v>OTCM</v>
    <v>OTCM</v>
    <v>Simon Carmiggeltstraat 6-50, AMSTERDAM, NOORD-HOLLAND, 1011DJ NL</v>
    <v>11.36</v>
    <v>Financial Technology (Fintech) &amp; Infrastructure</v>
    <v>Aktie</v>
    <v>0</v>
    <v>413</v>
    <v>46128.729271388278</v>
    <v>4771</v>
    <v>Adyen NV</v>
    <v>11.14</v>
    <v>Adyen NV</v>
    <v>11.33</v>
    <v>11.172499999999999</v>
    <v>11.34</v>
    <v>ADYEY</v>
    <v>Adyen NV (OTCM:ADYEY)</v>
    <v>2006</v>
    <v>362953</v>
    <v>157730</v>
    <v>USD</v>
  </rv>
  <rv s="2">
    <v>414</v>
  </rv>
  <rv s="0">
    <v>https://www.bing.com/financeapi/forcetrigger?t=a1zsjc&amp;q=XNYS%3aPG&amp;form=skydnc</v>
    <v>Learn more on Bing</v>
  </rv>
  <rv s="1">
    <v>de-DE</v>
    <v>a1zsjc</v>
    <v>268435456</v>
    <v>1</v>
    <v>Unterstützt von Refinitiv</v>
    <v>0</v>
    <v>1</v>
    <v>THE PROCTER &amp; GAMBLE COMPANY (XNYS:PG)</v>
    <v>3</v>
    <v>4</v>
    <v>Finance</v>
    <v>5</v>
    <v>171.65</v>
    <v>137.62</v>
    <v>-0.55000000000000004</v>
    <v>-3.836E-3</v>
    <v>2324001000</v>
    <v>Die Procter &amp; Gamble Company konzentriert sich auf die Bereitstellung von gebrandeten Konsumgütern für Verbraucher auf der ganzen Welt. Zu den Segmenten des Unternehmens gehören Beauty, Grooming, Health Care, Fabric &amp; Home Care sowie Baby, Feminine &amp; Family Care. Die Produkte des Unternehmens werden in etwa 180 Ländern und Gebieten hauptsächlich über Massenhändler, E-Commerce, einschließlich Social-Commerce-Kanäle, Lebensmittelläden, Mitgliedsclubs, Drogerien, Kaufhäuser, Händler, Großhändler, Schönheitsgeschäfte, einschließlich Duty-Free-Geschäfte am Flughafen), Hochfrequenzläden, Apotheken, Elektronikläden und professionelle Kanäle. Sie verkauft auch direkt an einzelne Verbraucher. Sie ist in etwa 70 Ländern tätig. Es bietet Produkte unter Marken wie Head &amp; Shoulders, Kräuteressenzen, Pantene, Rejoy, Olay, Old Spice, Safeguard, Secret, SK-II, Braun, Gillette, Venus, Crest, Oral-B, Ariel, Flaum, Gewinn, Flut, Immer, Immer Diskret, Tampax, Bounty und andere.</v>
    <v>0.39529999999999998</v>
    <v>331937062830</v>
    <v>New York Stock Exchange</v>
    <v>XNYS</v>
    <v>XNYS</v>
    <v>One Procter &amp; Gamble Plaza, CINCINNATI, OH, 45202 US</v>
    <v>144.29</v>
    <v>Personal &amp; Household Products &amp; Services</v>
    <v>Aktie</v>
    <v>21.163399999999999</v>
    <v>416</v>
    <v>46128.740090624997</v>
    <v>109000</v>
    <v>THE PROCTER &amp; GAMBLE COMPANY</v>
    <v>142.66</v>
    <v>THE PROCTER &amp; GAMBLE COMPANY</v>
    <v>143.41999999999999</v>
    <v>142.83000000000001</v>
    <v>143.38</v>
    <v>PG</v>
    <v>THE PROCTER &amp; GAMBLE COMPANY (XNYS:PG)</v>
    <v>1905</v>
    <v>2619829</v>
    <v>10519766</v>
    <v>USD</v>
  </rv>
  <rv s="2">
    <v>417</v>
  </rv>
  <rv s="0">
    <v>https://www.bing.com/financeapi/forcetrigger?t=a1wljc&amp;q=XNYS%3aKO&amp;form=skydnc</v>
    <v>Learn more on Bing</v>
  </rv>
  <rv s="1">
    <v>de-DE</v>
    <v>a1wljc</v>
    <v>268435456</v>
    <v>1</v>
    <v>Unterstützt von Refinitiv</v>
    <v>0</v>
    <v>1</v>
    <v>THE COCA-COLA COMPANY (XNYS:KO)</v>
    <v>3</v>
    <v>4</v>
    <v>Finance</v>
    <v>5</v>
    <v>82</v>
    <v>65.353800000000007</v>
    <v>-0.28499999999999998</v>
    <v>-3.784E-3</v>
    <v>4304153000</v>
    <v>The Coca-Cola Company ist ein Getränkehersteller. Zu den Segmenten des Unternehmens gehören Europa, Naher Osten und Afrika, Lateinamerika, Nordamerika, Asien-Pazifik, Global Ventures und Bottling Investments. Das Unternehmen vertreibt weltweit mehrere Marken in verschiedenen Getränkekategorien. Zu seinem Portfolio an kohlensäurehaltigen Erfrischungsgetränken gehören Coca-Cola, Sprite und Fanta. Zu den Wasser-, Sport-, Kaffee- und Teemarken gehören Dasani, smartwater, vitaminwater, Topo Chico, BODYARMOR, Powerade, Costa, Georgia, Fuze Tea, Gold Peak und Ayataka. Zu den Marken für Säfte, hochwertige Milchprodukte und pflanzliche Getränke gehören Minute Maid, Simply, innocent, Del Valle, fairlife und AdeS. Das Unternehmen ist in zwei Geschäftsbereichen tätig: Konzentratgeschäft und Fertigproduktgeschäft. Im Konzentratgeschäft werden Getränkekonzentrate, Sirupe, einschließlich Fontänensirupe, und bestimmte Fertiggetränke an autorisierte Abfüllbetriebe verkauft. Im Bereich Fertigprodukte werden kohlensäurehaltige Erfrischungsgetränke und eine Reihe anderer Fertiggetränke verkauft.</v>
    <v>0.33800000000000002</v>
    <v>322919078825</v>
    <v>New York Stock Exchange</v>
    <v>XNYS</v>
    <v>XNYS</v>
    <v>1 Coca Cola Plz NW, ATLANTA, GA, 30313-2420 US</v>
    <v>75.834999999999994</v>
    <v>Beverages</v>
    <v>Aktie</v>
    <v>24.6874</v>
    <v>419</v>
    <v>46128.740094941408</v>
    <v>65900</v>
    <v>THE COCA-COLA COMPANY</v>
    <v>74.915000000000006</v>
    <v>THE COCA-COLA COMPANY</v>
    <v>74.959999999999994</v>
    <v>75.025000000000006</v>
    <v>75.31</v>
    <v>KO</v>
    <v>THE COCA-COLA COMPANY (XNYS:KO)</v>
    <v>1919</v>
    <v>5087094</v>
    <v>14716663</v>
    <v>USD</v>
  </rv>
  <rv s="2">
    <v>420</v>
  </rv>
  <rv s="0">
    <v>https://www.bing.com/financeapi/forcetrigger?t=axyhnm&amp;q=XNAS%3aPEP&amp;form=skydnc</v>
    <v>Learn more on Bing</v>
  </rv>
  <rv s="1">
    <v>de-DE</v>
    <v>axyhnm</v>
    <v>268435456</v>
    <v>1</v>
    <v>Unterstützt von Refinitiv</v>
    <v>0</v>
    <v>1</v>
    <v>Pepsico, Inc. (XNAS:PEP)</v>
    <v>3</v>
    <v>4</v>
    <v>Finance</v>
    <v>5</v>
    <v>171.48</v>
    <v>127.6</v>
    <v>4.08</v>
    <v>2.6347999999999996E-2</v>
    <v>1366941000</v>
    <v>PepsiCo, Inc. Ist ein weltweit tätiges Unternehmen für Getränke und günstige Lebensmittel. Zu den Segmenten des Unternehmens gehören PepsiCo Foods North America (PFNA), PepsiCo Beverages North America (PBNA), International Beverage Franchise (IB Franchise), Europa, Naher Osten und Afrika (EMEA), Latin America Foods (LATAM Foods) und Asia Pacific Foods. Das Segment PFNA umfasst alle seine Lebensmittelgeschäfte in den USA und Kanada. Das Segment PBNA umfasst alle seine Getränkebranchen in den USA und Kanada. Das Segment IB Franchise umfasst seine internationalen Franchise-Getränkegeschäfte sowie sein SodaStream-Geschäft. Das EMEA-Segment umfasst seine Lebensmittelgeschäfte und Getränkegeschäfte mit unternehmenseigenen Abfüllern in Europa, dem Nahen Osten und Afrika. Das Segment LATAM Foods umfasst alle Lebensmittelgeschäfte in Lateinamerika. Das Segment Asia Pacific Foods besteht aus seinen praktischen Lebensmittelgeschäften im asiatisch-pazifischen Raum, darunter China, Australien und Neuseeland sowie Indien.</v>
    <v>0.39179999999999998</v>
    <v>217247933130</v>
    <v>Nasdaq Stock Market</v>
    <v>XNAS</v>
    <v>XNAS</v>
    <v>700 ANDERSON HILL RD, PURCHASE, NY, 10577 US</v>
    <v>159.79</v>
    <v>Beverages</v>
    <v>Aktie</v>
    <v>26.4817</v>
    <v>422</v>
    <v>46128.740100902345</v>
    <v>306000</v>
    <v>Pepsico, Inc.</v>
    <v>154.2627</v>
    <v>Pepsico, Inc.</v>
    <v>155</v>
    <v>158.93</v>
    <v>154.85</v>
    <v>PEP</v>
    <v>Pepsico, Inc. (XNAS:PEP)</v>
    <v>1986</v>
    <v>5427217</v>
    <v>6119471</v>
    <v>USD</v>
  </rv>
  <rv s="2">
    <v>423</v>
  </rv>
  <rv s="0">
    <v>https://www.bing.com/financeapi/forcetrigger?t=a25ya2&amp;q=XNYS%3aWMT&amp;form=skydnc</v>
    <v>Learn more on Bing</v>
  </rv>
  <rv s="1">
    <v>de-DE</v>
    <v>a25ya2</v>
    <v>268435456</v>
    <v>1</v>
    <v>Unterstützt von Refinitiv</v>
    <v>0</v>
    <v>1</v>
    <v>WALMART INC. (XNAS:WMT)</v>
    <v>3</v>
    <v>4</v>
    <v>Finance</v>
    <v>5</v>
    <v>134.69</v>
    <v>90.61</v>
    <v>0.65</v>
    <v>5.2100000000000002E-3</v>
    <v>7972402000</v>
    <v>Walmart Inc. Ist ein technologiegestützter Omnichannel-Einzelhändler. Das Unternehmen betreibt Einzelhandels- und Großhandelsgeschäfte und -Clubs sowie E-Commerce-Websites und mobile Anwendungen in den USA, Afrika, Kanada, Zentralamerika, Chile, China, Indien und Mexiko. Das Unternehmen ist in drei berichtspflichtigen Segmenten tätig: Walmart U.S., Walmart International und Sam's Club U.S. das Segment Walmart U.S. umfasst das MassenMerchandising-Konzept des Unternehmens in den USA sowie eCommerce, das Omni-Channel-Initiativen und bestimmte andere Geschäftsangebote wie Werbedienstleistungen umfasst. Das Segment Walmart International besteht aus den Aktivitäten des Unternehmens außerhalb der USA über seine Tochtergesellschaften sowie aus E-Commerce- und Omni-Channel-Initiativen. Das Segment Sam's Club U.S. umfasst die Warehouse-Mitgliedsclubs in den USA sowie samsclub.com und Omni-Channel-Initiativen.</v>
    <v>0.63460000000000005</v>
    <v>999818934820</v>
    <v>Nasdaq Stock Market</v>
    <v>XNAS</v>
    <v>XNAS</v>
    <v>1 Customer Drive, BENTONVILLE, AR, 72716 US</v>
    <v>125.94</v>
    <v>Food &amp; Drug Retailing</v>
    <v>Aktie</v>
    <v>45.942799999999998</v>
    <v>425</v>
    <v>46128.740072325782</v>
    <v>2100000</v>
    <v>WALMART INC.</v>
    <v>123.965</v>
    <v>WALMART INC.</v>
    <v>124.35</v>
    <v>125.41</v>
    <v>124.76</v>
    <v>WMT</v>
    <v>WALMART INC. (XNAS:WMT)</v>
    <v>1969</v>
    <v>7342870</v>
    <v>18884819</v>
    <v>USD</v>
  </rv>
  <rv s="2">
    <v>426</v>
  </rv>
  <rv s="0">
    <v>https://www.bing.com/financeapi/forcetrigger?t=a1q6k2&amp;q=XNAS%3aCOST&amp;form=skydnc</v>
    <v>Learn more on Bing</v>
  </rv>
  <rv s="1">
    <v>de-DE</v>
    <v>a1q6k2</v>
    <v>268435456</v>
    <v>1</v>
    <v>Unterstützt von Refinitiv</v>
    <v>0</v>
    <v>1</v>
    <v>COSTCO WHOLESALE CORPORATION (XNAS:COST)</v>
    <v>3</v>
    <v>4</v>
    <v>Finance</v>
    <v>5</v>
    <v>1067.08</v>
    <v>844.06</v>
    <v>2.97</v>
    <v>3.0159999999999996E-3</v>
    <v>443652500</v>
    <v>Die Costco Wholesale Corporation (Costco) betreibt Mitgliedslager und E-Commerce-Websites, die eine Auswahl an Produkten mit nationaler Marke und Eigenmarken in einer Vielzahl von Kategorien anbieten. Das Unternehmen kauft den Großteil seiner Waren direkt von Lieferanten und leitet sie an Cross-Docking-Konsolidierungspunkte (Depots) oder direkt an seine Lager weiter. Sie betreibt 891 Lager, davon 614 in den Vereinigten Staaten und Puerto Rico, 108 in Kanada, 40 in Mexiko, 35 in Japan, 29 im Vereinigten Königreich, 19 in Korea, 15 in Australien, 14 in Taiwan, sieben in China, fünf in Spanien, zwei in Frankreich und jeweils einer in Island, Neuseeland und Schweden. Außerdem betreibt das Unternehmen E-Commerce-Websites in den USA, Kanada, Großbritannien, Mexiko, Korea, Taiwan, Japan und Australien. Das Unternehmen bietet eine große Auswahl an Merchandise-Produkten sowie den Komfort von Spezialabteilungen und exklusiven Services für Mitglieder.</v>
    <v>0.93369999999999997</v>
    <v>438204447300</v>
    <v>Nasdaq Stock Market</v>
    <v>XNAS</v>
    <v>XNAS</v>
    <v>999 Lake Dr, ISSAQUAH, WA, 98027- US</v>
    <v>995.74800000000005</v>
    <v>Diversified Retail</v>
    <v>Aktie</v>
    <v>52.909199999999998</v>
    <v>428</v>
    <v>46128.740071678127</v>
    <v>341000</v>
    <v>COSTCO WHOLESALE CORPORATION</v>
    <v>984</v>
    <v>COSTCO WHOLESALE CORPORATION</v>
    <v>985</v>
    <v>987.72</v>
    <v>984.75</v>
    <v>COST</v>
    <v>COSTCO WHOLESALE CORPORATION (XNAS:COST)</v>
    <v>1987</v>
    <v>590905</v>
    <v>1728778</v>
    <v>USD</v>
  </rv>
  <rv s="2">
    <v>429</v>
  </rv>
  <rv s="0">
    <v>https://www.bing.com/financeapi/forcetrigger?t=a1xfoc&amp;q=XNAS%3aMDLZ&amp;form=skydnc</v>
    <v>Learn more on Bing</v>
  </rv>
  <rv s="1">
    <v>de-DE</v>
    <v>a1xfoc</v>
    <v>268435456</v>
    <v>1</v>
    <v>Unterstützt von Refinitiv</v>
    <v>0</v>
    <v>1</v>
    <v>Mondelez International, Inc. (XNAS:MDLZ)</v>
    <v>3</v>
    <v>4</v>
    <v>Finance</v>
    <v>5</v>
    <v>71.150000000000006</v>
    <v>51.200800000000001</v>
    <v>0.26500000000000001</v>
    <v>4.6839999999999998E-3</v>
    <v>1283457000</v>
    <v>Mondelez International, Inc. Ist ein Imbissunternehmen. Das Kerngeschäft des Unternehmens ist die Herstellung und der Verkauf von Schokolade, Keksen und gebackenen Snacks. Das Unternehmen unterhält auch weitere Geschäftsbereiche in benachbarten, lokal relevanten Kategorien, darunter Kaugummi und Süßigkeiten, Käse und Lebensmittel sowie Pulvergetränke. Das Portfolio umfasst globale und lokale Marken wie Oreo, Ritz, LU, Clif Bar und Tate's Bake Shop Kekse und gebackene Snacks sowie Cadbury Milchmilch, Milka und Toblerone Schokolade. Zu den Segmenten des Unternehmens zählen Lateinamerika, AMEA, Europa und Nordamerika. Das Unternehmen verkauft seine Produkte in über 150 Ländern und ist in etwa 80 Ländern tätig, darunter 147 Hauptproduktions- und Verarbeitungsbetriebe in 46 Ländern. Es verkauft seine Produkte an Supermarktketten, Großhändler, Superzentren, Clubläden, Massenhändler, Vertriebshändler, 24-Stunden-Geschäfte, Tankstellen, Drogerien, Value Stores und andere Lebensmitteleinzelhandelsgeschäfte.</v>
    <v>0.35610000000000003</v>
    <v>72958113165</v>
    <v>Nasdaq Stock Market</v>
    <v>XNAS</v>
    <v>XNAS</v>
    <v>905 West Fulton Market, Suite 200, CHICAGO, IL, 60607 US</v>
    <v>56.994999999999997</v>
    <v>Food &amp; Tobacco</v>
    <v>Aktie</v>
    <v>30.084700000000002</v>
    <v>431</v>
    <v>46128.740094710156</v>
    <v>91000</v>
    <v>Mondelez International, Inc.</v>
    <v>56.07</v>
    <v>Mondelez International, Inc.</v>
    <v>56.4</v>
    <v>56.844999999999999</v>
    <v>56.58</v>
    <v>MDLZ</v>
    <v>Mondelez International, Inc. (XNAS:MDLZ)</v>
    <v>2000</v>
    <v>3062865</v>
    <v>9931627</v>
    <v>USD</v>
  </rv>
  <rv s="2">
    <v>432</v>
  </rv>
  <rv s="0">
    <v>https://www.bing.com/financeapi/forcetrigger?t=b1lca2&amp;q=XSWX%3aNESN&amp;form=skydnc</v>
    <v>Learn more on Bing</v>
  </rv>
  <rv s="8">
    <v>de-DE</v>
    <v>b1lca2</v>
    <v>268435456</v>
    <v>1</v>
    <v>Unterstützt von Refinitiv</v>
    <v>23</v>
    <v>24</v>
    <v>Nestle Ltd. (XSWX:NESN)</v>
    <v>3</v>
    <v>25</v>
    <v>Finance</v>
    <v>26</v>
    <v>89.43</v>
    <v>69.900000000000006</v>
    <v>0.27</v>
    <v>3.441E-3</v>
    <v>2576520000</v>
    <v>Nestle SA ist ein in der Schweiz ansässiges Unternehmen, das hauptsächlich in der Lebensmittelindustrie tätig ist. Die Segmente des Unternehmens sind Zone Nordamerika (NA), Zone Europa (EUR), Zone Asien, Ozeanien und Afrika (AOA), Zone Lateinamerika (LATAM), Zone Greater China (GC), Nestle Health Science und Nespresso. Zu den Produktkategorien des Unternehmens gehören pulverförmige und flüssige Getränke, Wasser, Milchprodukte und Eis, Ernährungs- und Gesundheitswissenschaften, Fertiggerichte und Kochhilfsmittel, Süßwaren und Heimtierprodukte. Das Markenportfolio des Unternehmens umfasst unter anderem Purina, Cailler, Cini Minis, KitKat, Nespresso und Nescafe. Es ist in über 180 Ländern weltweit tätig. Es hat Verkäufe in verschiedenen Ländern, darunter in den USA, der Region Großchina, Brasilien, Mexiko, Deutschland, das Vereinigte Königreich, Italien, Kanada, Frankreich, die Türkei, Ukraine, Georgien, Ungarn, Malta, Rumänien, Spanien und der Schweiz.</v>
    <v>0.93100000000000005</v>
    <v>193754300000</v>
    <v>SIX Swiss Exchange</v>
    <v>XSWX</v>
    <v>XSWX</v>
    <v>Ave Nesele 55, Ch-1800, VEVEY, VAUD, 1800 CH</v>
    <v>78.989999999999995</v>
    <v>Food &amp; Tobacco</v>
    <v>Aktie</v>
    <v>22.433</v>
    <v>434</v>
    <v>46128.706932870373</v>
    <v>271000</v>
    <v>Nestle Ltd.</v>
    <v>77.83</v>
    <v>Nestle Ltd.</v>
    <v>78.33</v>
    <v>78.739999999999995</v>
    <v>78.739999999999995</v>
    <v>78.47</v>
    <v>NESN</v>
    <v>Nestle Ltd. (XSWX:NESN)</v>
    <v>1905</v>
    <v>0</v>
    <v>0</v>
    <v>2981397</v>
    <v>3410740</v>
    <v>CHF</v>
  </rv>
  <rv s="2">
    <v>435</v>
  </rv>
  <rv s="0">
    <v>https://www.bing.com/financeapi/forcetrigger?t=a24kar&amp;q=XNAS%3aTSLA&amp;form=skydnc</v>
    <v>Learn more on Bing</v>
  </rv>
  <rv s="1">
    <v>de-DE</v>
    <v>a24kar</v>
    <v>268435456</v>
    <v>1</v>
    <v>Unterstützt von Refinitiv</v>
    <v>0</v>
    <v>1</v>
    <v>TESLA, INC. (XNAS:TSLA)</v>
    <v>3</v>
    <v>4</v>
    <v>Finance</v>
    <v>5</v>
    <v>498.83</v>
    <v>222.79</v>
    <v>-3.64</v>
    <v>-9.2870000000000001E-3</v>
    <v>3752432000</v>
    <v>Tesla, Inc. entwickelt, produziert, vertreibt und vermietet leistungsstarke vollelektrische Fahrzeuge sowie Energieerzeugungs- und -speichersysteme und bietet Dienstleistungen rund um seine Produkte an. Die Geschäftsbereiche umfassen den Automobilbereich sowie die Energieerzeugung und -speicherung. Der Automobilbereich umfasst die Entwicklung, Produktion, den Vertrieb und die Vermietung von leistungsstarken vollelektrischen Fahrzeugen sowie den Verkauf von Emissionszertifikaten. Er umfasst außerdem den Verkauf von Gebrauchtfahrzeugen, kostenpflichtige Wartungs- und Reparaturdienstleistungen, den Verkauf von Ersatzteilen, kostenpflichtiges Supercharging, Einnahmen aus Versicherungsdienstleistungen und den Verkauf von Einzelhandelsprodukten. Der Bereich Energieerzeugung und -speicherung umfasst die Entwicklung, Herstellung, Installation, den Vertrieb und die Vermietung von Solarenergieerzeugungs- und Energiespeicherprodukten sowie damit verbundenen Dienstleistungen und den Verkauf von Förderprogrammen für Solarenergiesysteme. Zu den Pkw-Modellen gehören das Model 3, Y, S, X und der Cybertruck. Zu den Lithium-Ionen-Batteriespeichersystemen gehören Powerwall und Megapack.</v>
    <v>1.8774</v>
    <v>1457106869920</v>
    <v>Nasdaq Stock Market</v>
    <v>XNAS</v>
    <v>XNAS</v>
    <v>1 Tesla Road, AUSTIN, TX, 78725 US</v>
    <v>394.06</v>
    <v>Automobiles &amp; Auto Parts</v>
    <v>Aktie</v>
    <v>361.08420000000001</v>
    <v>437</v>
    <v>46128.740123032032</v>
    <v>134785</v>
    <v>TESLA, INC.</v>
    <v>381.8</v>
    <v>TESLA, INC.</v>
    <v>394.06</v>
    <v>388.31</v>
    <v>391.95</v>
    <v>TSLA</v>
    <v>TESLA, INC. (XNAS:TSLA)</v>
    <v>2024</v>
    <v>46098250</v>
    <v>65923073</v>
    <v>USD</v>
  </rv>
  <rv s="2">
    <v>438</v>
  </rv>
  <rv s="0">
    <v>https://www.bing.com/financeapi/forcetrigger?t=a1uj52&amp;q=XNYS%3aHD&amp;form=skydnc</v>
    <v>Learn more on Bing</v>
  </rv>
  <rv s="1">
    <v>de-DE</v>
    <v>a1uj52</v>
    <v>268435456</v>
    <v>1</v>
    <v>Unterstützt von Refinitiv</v>
    <v>0</v>
    <v>1</v>
    <v>THE HOME DEPOT, INC. (XNYS:HD)</v>
    <v>3</v>
    <v>4</v>
    <v>Finance</v>
    <v>5</v>
    <v>426.75</v>
    <v>315.31</v>
    <v>-1.22</v>
    <v>-3.5999999999999999E-3</v>
    <v>996027600</v>
    <v>Home Depot, Inc. Ist ein Spezialhändler für Heimwerkerarbeit. Das Unternehmen bietet eine Reihe von Baumaterialien, Produkten zur Verbesserung von Häusern, Rasen- und Gartenprodukten, Dekorationsprodukten sowie Wartungs-, Reparatur- und Betriebsprodukten für Einrichtungen, in Geschäften und online. Es bietet auch verschiedene Dienstleistungen an, einschließlich Installationsdienstleistungen für Wohngebäude und Vermietung von Werkzeugen und Ausrüstungen. Das Unternehmen betreibt etwa 2.353 Einzelhandelsgeschäfte, mehr als 800 Filialen und mehr als 325 Vertriebszentren, die Kundenaufträge direkt in allen 50 bundesstaaten, im District of Columbia, Puerto Rico, den US-amerikanischen Jungferninseln, Guam, 10 kanadischen Provinzen und Mexiko abwickeln. Die Geschäfte sind im Durchschnitt etwa 105.000 Quadratfuß umschlossener Fläche, mit ca. 24.000 Quadratfuß Außenfläche. Das Unternehmen betreut zwei primäre Kundengruppen, darunter Do-it-yourself (DIY) und Do-it-for-me (DIFM) Kunden und professionelle Kunden (Pros).</v>
    <v>1.0563</v>
    <v>336348560244</v>
    <v>New York Stock Exchange</v>
    <v>XNYS</v>
    <v>XNYS</v>
    <v>2455 Paces Ferry Road, ATLANTA, GA, 30339 US</v>
    <v>341.97989999999999</v>
    <v>Specialty Retailers</v>
    <v>Aktie</v>
    <v>23.722200000000001</v>
    <v>440</v>
    <v>46128.740105543751</v>
    <v>472400</v>
    <v>THE HOME DEPOT, INC.</v>
    <v>336.69</v>
    <v>THE HOME DEPOT, INC.</v>
    <v>339.5</v>
    <v>337.69</v>
    <v>338.91</v>
    <v>HD</v>
    <v>THE HOME DEPOT, INC. (XNYS:HD)</v>
    <v>1978</v>
    <v>1285522</v>
    <v>4002276</v>
    <v>USD</v>
  </rv>
  <rv s="2">
    <v>441</v>
  </rv>
  <rv s="0">
    <v>http://en.wikipedia.org/wiki/McDonald's</v>
    <v>Wikipedia</v>
  </rv>
  <rv s="3">
    <v>39</v>
    <v>443</v>
  </rv>
  <rv s="4">
    <v>13</v>
    <v>https://www.bing.com/th?id=AMMS_7d8255243964a8970376f8dd41121106&amp;qlt=95</v>
    <v>444</v>
    <v>0</v>
    <v>https://www.bing.com/images/search?form=xlimg&amp;q=mcdonald%27s</v>
    <v>Image of MCDONALD'S CORPORATION</v>
  </rv>
  <rv s="0">
    <v>https://www.bing.com/financeapi/forcetrigger?t=a1xdec&amp;q=XNYS%3aMCD&amp;form=skydnc</v>
    <v>Learn more on Bing</v>
  </rv>
  <rv s="5">
    <v>de-DE</v>
    <v>a1xdec</v>
    <v>268435456</v>
    <v>1</v>
    <v>Unterstützt von Refinitiv</v>
    <v>8</v>
    <v>9</v>
    <v>MCDONALD'S CORPORATION (XNYS:MCD)</v>
    <v>11</v>
    <v>12</v>
    <v>Finance</v>
    <v>5</v>
    <v>341.75</v>
    <v>283.47000000000003</v>
    <v>1.1399999999999999</v>
    <v>3.7219999999999996E-3</v>
    <v>710827600</v>
    <v>McDonald's Corporation ist ein weltweit tätiger Lebensmittelhändler. Das Segment umfasst US-amerikanische, International Operated Markets und International Development Licensed Markets &amp; Corporate. Das US-Segment ist sein größter Markt und ist zu 95 % Franchise. Das Segment International Operated Markets setzt sich aus Märkten oder Ländern zusammen, in denen es tätig ist und Franchisegeschäfte ausführt, darunter Australien, Kanada, Frankreich, Deutschland, Italien, Polen, Spanien und Vereinigtes Königreich. Dieses Segment ist zu 89 % Franchise. Das Segment International Developmental Licensed Markets &amp; Corporate umfasst entwicklungsorientierte Lizenznehmer- und Partnermärkte, einschließlich Beteiligungen nach der Equity-Methode in China und Japan. Dieses Segment ist zu 99 % Franchise. Die Speisekarte umfasst Hamburger und Cheeseburger, den Big Mac, den Quarter Pounder mit Käse, den Filet-O-Fisch und mehrere Hühnchen-Sandwiches, wie McChicken und McCrispy sowie Chicken McNuggets, Pommes Frites, Shakes, Eisbecher, Kekse, alkoholfreie Getränke, Kaffee und andere Getränke.</v>
    <v>0.49070000000000003</v>
    <v>445</v>
    <v>218508404239</v>
    <v>New York Stock Exchange</v>
    <v>XNYS</v>
    <v>XNYS</v>
    <v>110 N Carpenter St, CHICAGO, IL, 60607-2104 US</v>
    <v>308.27</v>
    <v>Hotels &amp; Entertainment Services</v>
    <v>Aktie</v>
    <v>25.7165</v>
    <v>446</v>
    <v>46128.740074745314</v>
    <v>150000</v>
    <v>MCDONALD'S CORPORATION</v>
    <v>304.57</v>
    <v>MCDONALD'S CORPORATION</v>
    <v>306.55</v>
    <v>307.39999999999998</v>
    <v>306.26</v>
    <v>MCD</v>
    <v>MCDONALD'S CORPORATION (XNYS:MCD)</v>
    <v>1964</v>
    <v>1090593</v>
    <v>3052453</v>
    <v>USD</v>
  </rv>
  <rv s="2">
    <v>447</v>
  </rv>
  <rv s="0">
    <v>https://www.bing.com/financeapi/forcetrigger?t=a1yjxm&amp;q=XNYS%3aNKE&amp;form=skydnc</v>
    <v>Learn more on Bing</v>
  </rv>
  <rv s="1">
    <v>de-DE</v>
    <v>a1yjxm</v>
    <v>268435456</v>
    <v>1</v>
    <v>Unterstützt von Refinitiv</v>
    <v>0</v>
    <v>1</v>
    <v>NIKE, INC. (XNYS:NKE)</v>
    <v>3</v>
    <v>4</v>
    <v>Finance</v>
    <v>5</v>
    <v>80.165000000000006</v>
    <v>42.09</v>
    <v>0.65500000000000003</v>
    <v>1.4415000000000001E-2</v>
    <v>1480887000</v>
    <v>NIKE, Inc. Entwickelt, vermarktet und vertreibt Sportschuhe, Bekleidung, Ausrüstung und Zubehör sowie Dienstleistungen für Sport- und Fitnessaktivitäten. Zu den operativen Segmenten des Unternehmens gehören Nordamerika, Europa, Naher Osten und Afrika (EMEA), Großchina sowie Asien-Pazifik und Lateinamerika (APLA). Unter dem Markennamen NIKE verkauft das Unternehmen eine Reihe von Ausrüstung und Zubehör, darunter Taschen, Socken, Sportbälle, Brillen, Zeitmesser, digitale Geräte, Fledermäuse, Handschuhe, Schutzausrüstung und andere Ausrüstung für sportliche Aktivitäten. Außerdem werden Produkte speziell für die Marke Jordan und Converse entwickelt. Die Marke Jordan entwirft, vertreibt und lizenziert sportliche und legere Schuhe, Bekleidung und Accessoires, die hauptsächlich auf Basketball-Performance und -Kultur ausgerichtet sind, und verwendet die Marke Jumpman. Das Unternehmen entwirft, vertreibt und lizenziert auch Freizeitschuhe, Bekleidung und Accessoires unter den Marken Chuck Taylor, All Star, One Star, Star Chevron und Jack Purcell.</v>
    <v>1.2143999999999999</v>
    <v>68261486265</v>
    <v>New York Stock Exchange</v>
    <v>XNYS</v>
    <v>XNYS</v>
    <v>One Bowerman Dr, BEAVERTON, OR, 97005-6453 US</v>
    <v>46.49</v>
    <v>Textiles &amp; Apparel</v>
    <v>Aktie</v>
    <v>27.0288</v>
    <v>449</v>
    <v>46128.740098332812</v>
    <v>77800</v>
    <v>NIKE, INC.</v>
    <v>45.55</v>
    <v>NIKE, INC.</v>
    <v>45.79</v>
    <v>46.094999999999999</v>
    <v>45.44</v>
    <v>NKE</v>
    <v>NIKE, INC. (XNYS:NKE)</v>
    <v>1969</v>
    <v>13695474</v>
    <v>25771451</v>
    <v>USD</v>
  </rv>
  <rv s="2">
    <v>450</v>
  </rv>
  <rv s="0">
    <v>https://www.bing.com/financeapi/forcetrigger?t=a22k9c&amp;q=XNAS%3aSBUX&amp;form=skydnc</v>
    <v>Learn more on Bing</v>
  </rv>
  <rv s="1">
    <v>de-DE</v>
    <v>a22k9c</v>
    <v>268435456</v>
    <v>1</v>
    <v>Unterstützt von Refinitiv</v>
    <v>0</v>
    <v>1</v>
    <v>STARBUCKS CORPORATION (XNAS:SBUX)</v>
    <v>3</v>
    <v>4</v>
    <v>Finance</v>
    <v>5</v>
    <v>104.82</v>
    <v>75.5</v>
    <v>-0.38</v>
    <v>-3.8640000000000002E-3</v>
    <v>1139300000</v>
    <v>Starbucks Corporations ist ein weltweit tätiger Röster, Vermarkter und Einzelhändler von Spezialitätenkaffee. Das Segment Nordamerika umfasst die USA und Kanada. Das Segment International umfasst China, Japan, den Asien-Pazifik-Raum, Europa, den Nahen Osten und Afrika, Lateinamerika und die Karibik. Die Segmente Nordamerika und International umfassen sowohl unternehmenseigene als auch lizenzierte Geschäfte. Das Segment Channel Development umfasst geröstete ganze Bohnen und gemahlenen Kaffee, Einzelportionsprodukte der Marke Starbucks, eine Vielzahl trinkfertiger Getränke wie Frappuccino und Starbucks Doubleshot, Foodservice-Produkte und sonstige Markenprodukte, die außerhalb der unternehmenseigenen und lizenzierten Geschäfte verkauft werden. Ein großer Teil des Channel-Development-Geschäfts wird im Rahmen eines lizenzierten Modells der Global Coffee Alliance mit Nestlé betrieben, während die globalen Geschäfte für trinkfertige Getränke im Rahmen von Kooperationen mit PepsiCo, Inc., Tingyi-Ashi Beverages Holding Co., Ltd., Arla Foods amba, Nestlé und anderen betrieben werden.</v>
    <v>0.9617</v>
    <v>111605828000</v>
    <v>Nasdaq Stock Market</v>
    <v>XNAS</v>
    <v>XNAS</v>
    <v>2401 Utah Ave S, Ms: S-La1, SEATTLE, WA, 98134 US</v>
    <v>99.15</v>
    <v>Hotels &amp; Entertainment Services</v>
    <v>Aktie</v>
    <v>81.606099999999998</v>
    <v>452</v>
    <v>46128.740087568753</v>
    <v>381000</v>
    <v>STARBUCKS CORPORATION</v>
    <v>97.78</v>
    <v>STARBUCKS CORPORATION</v>
    <v>98.34</v>
    <v>97.96</v>
    <v>98.34</v>
    <v>SBUX</v>
    <v>STARBUCKS CORPORATION (XNAS:SBUX)</v>
    <v>1985</v>
    <v>2387308</v>
    <v>7770543</v>
    <v>USD</v>
  </rv>
  <rv s="2">
    <v>453</v>
  </rv>
  <rv s="0">
    <v>https://www.bing.com/financeapi/forcetrigger?t=az6g8m&amp;q=XNAS%3aBKNG&amp;form=skydnc</v>
    <v>Learn more on Bing</v>
  </rv>
  <rv s="1">
    <v>de-DE</v>
    <v>az6g8m</v>
    <v>268435456</v>
    <v>1</v>
    <v>Unterstützt von Refinitiv</v>
    <v>0</v>
    <v>1</v>
    <v>BOOKING HOLDINGS INC. (XNAS:BKNG)</v>
    <v>3</v>
    <v>4</v>
    <v>Finance</v>
    <v>5</v>
    <v>233.57650000000001</v>
    <v>150.61799999999999</v>
    <v>0.72</v>
    <v>3.8769999999999998E-3</v>
    <v>791833700</v>
    <v>Booking Holdings Inc. Ist ein Anbieter von Online-Reservierungen für Reisen und Restaurants und damit zusammenhängenden Dienstleistungen. Das Unternehmen bietet seine Dienstleistungen über fünf Hauptmarken für Verbraucher an: Booking.com, Priceline, Agoda, KAYAK und OpenTable. Über seine Marken können Verbraucher eine Vielzahl von Unterkünften buchen (darunter Hotels, Motels, Resorts, Häuser, Apartments, Bed and Breakfasts, Hostels und andere alternative und traditionelle Unterkünfte) und einen Flug zu ihren Zielen; Reservieren Sie eine Autovermietung oder arrangieren Sie ein Flughafentaxi; reservieren Sie ein Abendessen; oder buchen Sie ein Urlaubspaket, eine Tour, Aktivität oder eine Kreuzfahrt. Verbraucher können die Meta-Suchdienste auch nutzen, um Reisebuchungsinformationen wie Flug-, Hotel- und Mietwagenreservierungen von Hunderten von Online-Reiseplattformen auf einmal zu vergleichen. Booking.com bietet Reservierungsdienste für rund 4,0 Millionen Immobilien in über 220 Ländern und Gebieten und in über 40 Sprachen.</v>
    <v>1.206</v>
    <v>147605720017</v>
    <v>Nasdaq Stock Market</v>
    <v>XNAS</v>
    <v>XNAS</v>
    <v>800 CONNECTICUT AVE, NORWALK, CT, 06854-1631 US</v>
    <v>188.17</v>
    <v>Hotels &amp; Entertainment Services</v>
    <v>Aktie</v>
    <v>28.052199999999999</v>
    <v>455</v>
    <v>46128.739991133596</v>
    <v>24300</v>
    <v>BOOKING HOLDINGS INC.</v>
    <v>185.4</v>
    <v>BOOKING HOLDINGS INC.</v>
    <v>186.42</v>
    <v>186.41</v>
    <v>185.69</v>
    <v>BKNG</v>
    <v>BOOKING HOLDINGS INC. (XNAS:BKNG)</v>
    <v>1998</v>
    <v>2153620</v>
    <v>7470195</v>
    <v>USD</v>
  </rv>
  <rv s="2">
    <v>456</v>
  </rv>
  <rv s="0">
    <v>https://www.bing.com/financeapi/forcetrigger?t=a1o4mw&amp;q=XNYS%3aBABA&amp;form=skydnc</v>
    <v>Learn more on Bing</v>
  </rv>
  <rv s="1">
    <v>de-DE</v>
    <v>a1o4mw</v>
    <v>268435456</v>
    <v>1</v>
    <v>Unterstützt von Refinitiv</v>
    <v>0</v>
    <v>1</v>
    <v>Alibaba Group Holding Limited (XNYS:BABA)</v>
    <v>3</v>
    <v>4</v>
    <v>Finance</v>
    <v>5</v>
    <v>192.67</v>
    <v>103.71</v>
    <v>5.7859999999999996</v>
    <v>4.3411999999999999E-2</v>
    <v>2391756000</v>
    <v>Die Alibaba Group Holding Ltd ist eine Beteiligungsgesellschaft, die hauptsächlich in der Bereitstellung von Technologieinfrastruktur und Marketingplattformen tätig ist. Das Unternehmen betreibt sein Geschäft in neun Segmenten. Das Segment China Commerce Retail ist im chinesischen Handel tätig. Das Segment China Commerce Wholesale ist hauptsächlich im Geschäftsfeld 1688.com tätig. Das Segment Cloud Intelligence bietet Cloud-Services. Das Segment International Commerce Retail bietet Kundenmanagement, Warenverkauf und Logistikdienstleistungen. Der internationale Handel Großhandelssektor ist hauptsächlich im Jahr Alibaba.com tätig. Das Segment „Cainiao“ repräsentiert Logistics Services und bietet Fulfillment-Services an. Der Umsatz des Segments Local Services umfasst Plattformprovisionen und Einnahmen aus Logistikdienstleistungen. Das Segment digitale Medien und Unterhaltung betreibt Youku und Alibaba. Das Segment „alle anderen“ ist hauptsächlich in den Bereichen Sun Art, Freshippo und Sonstiges tätig.</v>
    <v>0.51160000000000005</v>
    <v>332611939896</v>
    <v>New York Stock Exchange</v>
    <v>XNYS</v>
    <v>XNYS</v>
    <v>26/F Tower One, Times Square 1 Matheson Street Causeway Bay, Shedden Road HK</v>
    <v>140.9</v>
    <v>Software &amp; IT Services</v>
    <v>Aktie</v>
    <v>18.9133</v>
    <v>458</v>
    <v>46128.740114803128</v>
    <v>128197</v>
    <v>Alibaba Group Holding Limited</v>
    <v>135.73500000000001</v>
    <v>Alibaba Group Holding Limited</v>
    <v>137.80000000000001</v>
    <v>139.066</v>
    <v>133.28</v>
    <v>BABA</v>
    <v>Alibaba Group Holding Limited (XNYS:BABA)</v>
    <v>1999</v>
    <v>12447026</v>
    <v>10991763</v>
    <v>USD</v>
  </rv>
  <rv s="2">
    <v>459</v>
  </rv>
  <rv s="0">
    <v>https://www.bing.com/financeapi/forcetrigger?t=a1xh8m&amp;q=XNAS%3aMELI&amp;form=skydnc</v>
    <v>Learn more on Bing</v>
  </rv>
  <rv s="1">
    <v>de-DE</v>
    <v>a1xh8m</v>
    <v>268435456</v>
    <v>1</v>
    <v>Unterstützt von Refinitiv</v>
    <v>0</v>
    <v>1</v>
    <v>MercadoLibre, Inc. (XNAS:MELI)</v>
    <v>3</v>
    <v>4</v>
    <v>Finance</v>
    <v>5</v>
    <v>2645.22</v>
    <v>1593.21</v>
    <v>-33.31</v>
    <v>-1.7793E-2</v>
    <v>50697180</v>
    <v>MercadoLibre Inc. Ist ein in Uruguay ansässiger E-Commerce-Anbieter argentinischer Herkunft. Die Produkte des elektronischen Geschäftsverkehrs ermöglichen den Einzelhandel und den Großhandel über Internetplattformen, die den Nutzern ein Portfolio von Diensten zur Erleichterung des Geschäftsverkehrs bieten. Die geografische Abdeckung des Unternehmens umfasst 18 Länder Lateinamerikas. Das Hauptangebot ist ein Ökosystem aus sechs integrierten E-Commerce-Services: Dem Mercado Libre Marketplace, dem Mercado Libre Classifieds Service, der Zahlungslösung Mercado Pago, den Finanzlösungen Mercado Credito, den Logistiklösungen Mercado Envios einschließlich Versand, der Werbeplattform Mercado Ads und der digitalen Storefront-Lösung Mercado Shops.</v>
    <v>1.4799</v>
    <v>93222481555</v>
    <v>Nasdaq Stock Market</v>
    <v>XNAS</v>
    <v>XNAS</v>
    <v>WTC FREE ZONE DR. LUIS BONAVITA 1294, 11300 UY</v>
    <v>1891.5</v>
    <v>Software &amp; IT Services</v>
    <v>Aktie</v>
    <v>46.676900000000003</v>
    <v>461</v>
    <v>46128.740104316406</v>
    <v>123670</v>
    <v>MercadoLibre, Inc.</v>
    <v>1815</v>
    <v>MercadoLibre, Inc.</v>
    <v>1860.74</v>
    <v>1838.81</v>
    <v>1872.12</v>
    <v>MELI</v>
    <v>MercadoLibre, Inc. (XNAS:MELI)</v>
    <v>1999</v>
    <v>217934</v>
    <v>472436</v>
    <v>USD</v>
  </rv>
  <rv s="2">
    <v>462</v>
  </rv>
  <rv s="0">
    <v>https://www.bing.com/financeapi/forcetrigger?t=a1w2u2&amp;q=XNAS%3aJD&amp;form=skydnc</v>
    <v>Learn more on Bing</v>
  </rv>
  <rv s="9">
    <v>de-DE</v>
    <v>a1w2u2</v>
    <v>268435456</v>
    <v>1</v>
    <v>Unterstützt von Refinitiv</v>
    <v>27</v>
    <v>28</v>
    <v>JD.COM, INC. (XNAS:JD)</v>
    <v>3</v>
    <v>44</v>
    <v>Finance</v>
    <v>5</v>
    <v>38.08</v>
    <v>24.507999999999999</v>
    <v>0.05</v>
    <v>1.5890000000000001E-3</v>
    <v>1593777000</v>
    <v>JD.Com Inc. Ist ein Unternehmen, das hauptsächlich im E-Commerce-Geschäft tätig ist, einschließlich des Online-Einzelhandels und des Online-Marktplatzes, hauptsächlich über seine mobilen Apps für den Einzelhandel und die Website www.jd.com (zusammen JD Platform). Das Unternehmen betreibt seine Geschäfte in vier Segmenten. Das Segment JD Retail, einschließlich JD Health, JD Industrials und anderer Komponenten, ist hauptsächlich im Online-Einzelhandel, Online-Marktplatz und Marketingdienstleistungen in China tätig. Das Segment JD Logistics umfasst sowohl interne als auch externe Logistikbereiche. Das Dada-Segment ist eine lokale Plattform für On-Demand-Lieferungen und Einzelhandel in China. Das Segment der Neugeschäftsbereiche umfasst hauptsächlich JD Property, Jingxi und Auslandsgeschäfte. Das Unternehmen ist hauptsächlich auf dem Inlandsmarkt und im Ausland tätig.</v>
    <v>0.43169999999999997</v>
    <v>50235851040</v>
    <v>Nasdaq Stock Market</v>
    <v>XNAS</v>
    <v>XNAS</v>
    <v>Kechuang 11 Street, Yizhuang Economic and Technological Development Zone, BEIJING, 101111 CN</v>
    <v>31.95</v>
    <v>Diversified Retail</v>
    <v>Aktie</v>
    <v>10.4983</v>
    <v>464</v>
    <v>46128.74014012656</v>
    <v>570895</v>
    <v>JD.COM, INC.</v>
    <v>31.145</v>
    <v>JD.COM, INC.</v>
    <v>31.57</v>
    <v>31.52</v>
    <v>31.47</v>
    <v>JD</v>
    <v>JD.COM, INC. (XNAS:JD)</v>
    <v>9796699</v>
    <v>10794023</v>
    <v>USD</v>
  </rv>
  <rv s="2">
    <v>465</v>
  </rv>
  <rv s="0">
    <v>https://www.bing.com/financeapi/forcetrigger?t=a22wz2&amp;q=XNYS%3aSHOP&amp;form=skydnc</v>
    <v>Learn more on Bing</v>
  </rv>
  <rv s="1">
    <v>de-DE</v>
    <v>a22wz2</v>
    <v>268435456</v>
    <v>1</v>
    <v>Unterstützt von Refinitiv</v>
    <v>0</v>
    <v>1</v>
    <v>SHOPIFY INC. (XNAS:SHOP)</v>
    <v>3</v>
    <v>4</v>
    <v>Finance</v>
    <v>5</v>
    <v>182.19</v>
    <v>80.349999999999994</v>
    <v>0.95499999999999996</v>
    <v>7.4950000000000008E-3</v>
    <v>1304111000</v>
    <v>Shopify Inc. (Shopify) ist ein in Kanada ansässiges globales Handelsunternehmen. Das Unternehmen bietet wichtige Internet-Infrastruktur für den Handel und bietet Tools für die Gründung, das Wachstum, die Vermarktung und die Verwaltung eines Einzelhandelsgeschäfts jeder Größe. Sie bietet Plattformen und Services, die speziell entwickelt wurden und Kunden online, im Geschäft und überall dazwischen ein Einkaufserlebnis bieten. Die Software ermöglicht es Händlern, ihr Geschäft über alle Vertriebskanäle zu führen, einschließlich Web- und Mobile-Storefronts, physische Einzelhandelsstandorte, Social-Media-Storefronts und Marketplace-Sites. Die Shopify-Plattform des Unternehmens bietet Händlern eine zentrale Ansicht ihres Geschäfts über alle Vertriebskanäle hinweg und ermöglicht es ihnen, Produkte und Lagerbestände zu verwalten, Bestellungen und Zahlungen zu bearbeiten, Bestellungen zu erfüllen und zu versenden, Kundenbeziehungen aufzubauen, Produkte zu beschaffen, Analysen und Berichte zu nutzen, und Zugang zu Finanzierungsmöglichkeiten – alles über ein integriertes Back-Office. Die Shopify's Plattform ist in 175 Ländern vertreten.</v>
    <v>2.7751000000000001</v>
    <v>167402208515</v>
    <v>Nasdaq Stock Market</v>
    <v>XNAS</v>
    <v>XNAS</v>
    <v>151 O'connor Street, Ground Floor, OTTAWA, ON, K2P 2L8 CA</v>
    <v>130.69</v>
    <v>Software &amp; IT Services</v>
    <v>Aktie</v>
    <v>137.47989999999999</v>
    <v>467</v>
    <v>46128.740103298434</v>
    <v>7600</v>
    <v>SHOPIFY INC.</v>
    <v>125.84</v>
    <v>SHOPIFY INC.</v>
    <v>130.12</v>
    <v>128.36500000000001</v>
    <v>127.41</v>
    <v>SHOP</v>
    <v>SHOPIFY INC. (XNAS:SHOP)</v>
    <v>2004</v>
    <v>3772725</v>
    <v>7971232</v>
    <v>USD</v>
  </rv>
  <rv s="2">
    <v>468</v>
  </rv>
  <rv s="0">
    <v>https://www.bing.com/financeapi/forcetrigger?t=a1sar7&amp;q=XNAS%3aETSY&amp;form=skydnc</v>
    <v>Learn more on Bing</v>
  </rv>
  <rv s="1">
    <v>de-DE</v>
    <v>a1sar7</v>
    <v>268435456</v>
    <v>1</v>
    <v>Unterstützt von Refinitiv</v>
    <v>0</v>
    <v>1</v>
    <v>ETSY, INC. (XNYS:ETSY)</v>
    <v>3</v>
    <v>4</v>
    <v>Finance</v>
    <v>5</v>
    <v>76.515000000000001</v>
    <v>41.505000000000003</v>
    <v>2.2999999999999998</v>
    <v>3.9710000000000002E-2</v>
    <v>96247180</v>
    <v>Etsy, Inc. Betreibt zweiseitige Online-Marketplace-Sites, die Käufer und Verkäufer auf der ganzen Welt miteinander verbinden. Der primäre Marktplatz des Unternehmens, Etsy.com, ist der globale Zielort für Waren, die von unabhängigen Verkäufern hergestellt werden. Neben dem zentralen Marktplatz Etsy besteht das House of Brand aus Depop Limited (Depop), dem Wiederverkaufsmarkt für Mode. Jeder Marktplatz arbeitet in erster Linie unabhängig und profitiert dabei von gemeinsamer Expertise in Produktentwicklung, Marketing, Technologie und Kundensupport. Zu den sechs wichtigsten Einzelhandelskategorien des Unternehmens auf dem Etsy-Marktplatz gehören Haushaltswaren und Wohnmöbel, Schmuck und persönliche Accessoires, Bekleidung, Bastelbedarf, Papier- und Partybedarf sowie Spielzeug und Spiele.</v>
    <v>1.8269</v>
    <v>5796005179</v>
    <v>New York Stock Exchange</v>
    <v>XNYS</v>
    <v>XNYS</v>
    <v>117 Adams Street, BROOKLYN, NY, 11201 US</v>
    <v>60.43</v>
    <v>Diversified Retail</v>
    <v>Aktie</v>
    <v>49.822099999999999</v>
    <v>470</v>
    <v>46128.740111110936</v>
    <v>2375</v>
    <v>ETSY, INC.</v>
    <v>58.01</v>
    <v>ETSY, INC.</v>
    <v>58.01</v>
    <v>60.22</v>
    <v>57.92</v>
    <v>ETSY</v>
    <v>ETSY, INC. (XNYS:ETSY)</v>
    <v>2006</v>
    <v>1430161</v>
    <v>2552953</v>
    <v>USD</v>
  </rv>
  <rv s="2">
    <v>471</v>
  </rv>
  <rv s="0">
    <v>https://www.bing.com/financeapi/forcetrigger?t=a22qp2&amp;q=XNYS%3aSE&amp;form=skydnc</v>
    <v>Learn more on Bing</v>
  </rv>
  <rv s="1">
    <v>de-DE</v>
    <v>a22qp2</v>
    <v>268435456</v>
    <v>1</v>
    <v>Unterstützt von Refinitiv</v>
    <v>0</v>
    <v>1</v>
    <v>SEA LIMITED (XNYS:SE)</v>
    <v>3</v>
    <v>4</v>
    <v>Finance</v>
    <v>5</v>
    <v>199.3</v>
    <v>77.05</v>
    <v>0.64</v>
    <v>7.0850000000000002E-3</v>
    <v>546492100</v>
    <v>Sea Limited ist ein Internetunternehmen für Verbraucher. Das Unternehmen betreibt drei Kerngeschäftsbereiche E-Commerce, digitale Finanzdienstleistungen und digitale Unterhaltung, die als Shopee, SeaMoney und Garena bekannt sind. Seine Segmente sind E-Commerce, digitale Finanzdienstleistungen und digitale Unterhaltung. Die Plattform von Garena bietet Online-Spiele für Mobilgeräte und PCs (PC) an und entwickelt mobile Spiele für den globalen Markt. Es bietet E-Sport und bietet Zugriff auf andere Unterhaltungsinhalte und soziale Funktionen, wie Live-Streaming von Gameplay, Benutzer-Chat und Online-Foren. Die Plattform von Shopee ist ein mobiler, auf soziale Medien ausgerichteter Markt. Sie bietet Benutzern eine Einkaufsumgebung mit integrierter Zahlungs-, Logistikinfrastruktur und Verkäuferservices. SeaMoney bietet verschiedene Zahlungsdienste und Kredite an Privatpersonen und Unternehmen. Es ist in Indonesien, Taiwan, Thailand, Singapur, Malaysia, und den Philippinen.</v>
    <v>1.6644000000000001</v>
    <v>49714386337</v>
    <v>New York Stock Exchange</v>
    <v>XNYS</v>
    <v>XNYS</v>
    <v>1 Fusionopolis Place, #17-10 Galaxis, 138522 SG</v>
    <v>93.24</v>
    <v>Software &amp; IT Services</v>
    <v>Aktie</v>
    <v>40.346800000000002</v>
    <v>473</v>
    <v>46128.740117765628</v>
    <v>80700</v>
    <v>SEA LIMITED</v>
    <v>89.81</v>
    <v>SEA LIMITED</v>
    <v>92.75</v>
    <v>90.97</v>
    <v>90.33</v>
    <v>SE</v>
    <v>SEA LIMITED (XNYS:SE)</v>
    <v>2009</v>
    <v>1841398</v>
    <v>3696667</v>
    <v>USD</v>
  </rv>
  <rv s="2">
    <v>474</v>
  </rv>
  <rv s="1">
    <v>de-DE</v>
    <v>a1vgar</v>
    <v>268435456</v>
    <v>1</v>
    <v>Unterstützt von Refinitiv</v>
    <v>0</v>
    <v>1</v>
    <v>Coherent Corp. (XNYS:COHR)</v>
    <v>3</v>
    <v>4</v>
    <v>Finance</v>
    <v>5</v>
    <v>332</v>
    <v>50.81</v>
    <v>12.35</v>
    <v>4.0071000000000002E-2</v>
    <v>195270000</v>
    <v>Coherent Corp., spezialisiert auf Materialien, Netzwerke und Laser, ist ein vertikal integriertes Fertigungsunternehmen, das technische Materialien, optoelektronische Komponenten und Geräte sowie Laser für den Einsatz in Industrie, Kommunikation, Elektronik und Instrumentierung entwickelt, herstellt und vermarktet. Zu den Segmenten gehören Netzwerke, Materialien und Laser. Das Segment Networking nutzt seine Plattformen für die Verbindungshalbleitertechnologie und das Wissen über Endbenutzeranwendungen für seine wichtigsten Endmärkte, um differenzierte Komponenten und Subsysteme zu liefern. Das Segment Materialien umfasst technische Materialien und optoelektronische Geräte, wie z. B. solche auf der Basis von Zinkselenid (ZnSe), Zinksulfid (ZnS), Galliumarsenid (GaAs), Indiumphosphid (InP), Galliumantimonid (GaSb), und Siliziumcarbid (SiC). Die Laser- und Optikprodukte des Segments Laser bedienen industrielle Kunden in den Bereichen Halbleiter- und Displayanlagen, Präzisionsfertigung sowie Luft- und Raumfahrt und Verteidigung und andere.</v>
    <v>2.0308999999999999</v>
    <v>62593798500</v>
    <v>New York Stock Exchange</v>
    <v>XNYS</v>
    <v>XNYS</v>
    <v>375 Saxonburg Blvd, SAXONBURG, PA, 16056 US</v>
    <v>332</v>
    <v>Electronic Equipment &amp; Parts</v>
    <v>Aktie</v>
    <v>524.37429999999995</v>
    <v>0</v>
    <v>46128.710666296094</v>
    <v>30216</v>
    <v>Coherent Corp.</v>
    <v>312.92</v>
    <v>Coherent Corp.</v>
    <v>316.51</v>
    <v>320.55</v>
    <v>308.2</v>
    <v>COHR</v>
    <v>Coherent Corp. (XNYS:COHR)</v>
    <v>1971</v>
    <v>4367061</v>
    <v>8262919</v>
    <v>USD</v>
  </rv>
  <rv s="2">
    <v>476</v>
  </rv>
  <rv s="1">
    <v>de-DE</v>
    <v>a1wxjc</v>
    <v>268435456</v>
    <v>1</v>
    <v>Unterstützt von Refinitiv</v>
    <v>0</v>
    <v>1</v>
    <v>LUMENTUM HOLDINGS INC. (XNAS:LITE)</v>
    <v>3</v>
    <v>4</v>
    <v>Finance</v>
    <v>5</v>
    <v>960</v>
    <v>49.13</v>
    <v>58.28</v>
    <v>7.0726999999999998E-2</v>
    <v>71400000</v>
    <v>Lumentum Holdings Inc. Ist ein Designer und Hersteller optischer und photonischer Produkte, die optische Netzwerke und Laseranwendungen weltweit ermöglichen. Zu den Segmenten zählen Cloud &amp; Networking und Industrial Tech. Die Produkte des Segments Cloud &amp; Networking umfassen ein umfassendes Portfolio optischer und photonischer Komponenten, Module und Subsysteme, die an Betreiber von Cloud- und Kommunikationsnetzwerken und Hersteller von Netzwerkgeräten geliefert werden, die eine Cloud-Rechenzentrumsinfrastruktur aufbauen, einschließlich Produkte für künstliche Intelligenz und maschinelles Lernen (KI/ML) und Data Center Interconnect (DCI) sowie Kommunikationsdienstleister-Netzwerke, einschließlich Produkte für den Zugang (lokal), Metro (Intracity), Langstreckennetzwerke (Stadt-zu Stadt-Netzwerken und Untersee). Das Segment Industrial Tech umfasst Festkörperlaser, Faserlaser der Kilowatt-Klasse, Diodenlaser, ultraschnelle Laser und Gaslaser, für Anwendungen in zahlreichen Endmärkten.</v>
    <v>1.4736</v>
    <v>62995506000</v>
    <v>Nasdaq Stock Market</v>
    <v>XNAS</v>
    <v>XNAS</v>
    <v>1001 Ridder Park Dr, SAN JOSE, CA, 95131-2314 US</v>
    <v>903</v>
    <v>Communications &amp; Networking</v>
    <v>Aktie</v>
    <v>269.78050000000002</v>
    <v>3</v>
    <v>46128.710684988284</v>
    <v>10562</v>
    <v>LUMENTUM HOLDINGS INC.</v>
    <v>820.16</v>
    <v>LUMENTUM HOLDINGS INC.</v>
    <v>826.23</v>
    <v>882.29</v>
    <v>824.01</v>
    <v>LITE</v>
    <v>LUMENTUM HOLDINGS INC. (XNAS:LITE)</v>
    <v>2015</v>
    <v>4416189</v>
    <v>7068785</v>
    <v>USD</v>
  </rv>
  <rv s="2">
    <v>478</v>
  </rv>
  <rv s="1">
    <v>de-DE</v>
    <v>a1molh</v>
    <v>268435456</v>
    <v>1</v>
    <v>Unterstützt von Refinitiv</v>
    <v>0</v>
    <v>1</v>
    <v>APPLIED OPTOELECTRONICS, INC. (XNAS:AAOI)</v>
    <v>3</v>
    <v>4</v>
    <v>Finance</v>
    <v>5</v>
    <v>155.4</v>
    <v>9.7110000000000003</v>
    <v>5.71</v>
    <v>4.0056000000000001E-2</v>
    <v>75198820</v>
    <v>Applied Optoelectronics, Inc. Ist ein vertikal integrierter Anbieter von Glasfaser-Netzwerkprodukten. Das Unternehmen entwickelt und produziert eine Reihe optischer Kommunikationsprodukte mit unterschiedlichen Integrationsstufen, von Komponenten, Baugruppen und Modulen bis hin zu schlüsselfertigen Komplettgeräten. Das Unternehmen entwirft, produziert und integriert seine eigenen analogen und digitalen Laser mit Hilfe der proprietären alternativen Verfahren zur Molekularstrahl-Epitaxie (MBE) und der Metall-organischen chemischen Vapor-Deposition (MOCVD) für die Herstellung von Lasern. Das Unternehmen stellt Laser und Laserkomponenten her und führt Forschungs- und Entwicklungsaktivitäten für Laserkomponenten und optische Module durch. Das Unternehmen bietet seine Glasfaser-Netzwerkprodukte in erster Linie für vier Netzwerkendmärkte an, wie Kabelfernsehen, (CATV), Internet-Rechenzentrum, Telekommunikation, (Telekommunikation), und Fiber-to-the-Home (FTTH). Das Unternehmen verfügt über Produktionsstätten in Taipeh (Taiwan) und Ningbo (China).</v>
    <v>3.5560999999999998</v>
    <v>11148977053</v>
    <v>Nasdaq Stock Market</v>
    <v>XNAS</v>
    <v>XNAS</v>
    <v>13139 Jess Pirtle Blvd, SUGAR LAND, TX, 77478 US</v>
    <v>153.77000000000001</v>
    <v>Electronic Equipment &amp; Parts</v>
    <v>Aktie</v>
    <v>0</v>
    <v>6</v>
    <v>46128.710654953124</v>
    <v>4691</v>
    <v>APPLIED OPTOELECTRONICS, INC.</v>
    <v>136.36000000000001</v>
    <v>APPLIED OPTOELECTRONICS, INC.</v>
    <v>140</v>
    <v>148.26</v>
    <v>142.55000000000001</v>
    <v>AAOI</v>
    <v>APPLIED OPTOELECTRONICS, INC. (XNAS:AAOI)</v>
    <v>2013</v>
    <v>6574434</v>
    <v>13487579</v>
    <v>USD</v>
  </rv>
  <rv s="2">
    <v>480</v>
  </rv>
  <rv s="1">
    <v>de-DE</v>
    <v>a2si9c</v>
    <v>268435456</v>
    <v>1</v>
    <v>Unterstützt von Refinitiv</v>
    <v>0</v>
    <v>1</v>
    <v>POET Technologies Inc. (XNAS:POET)</v>
    <v>3</v>
    <v>4</v>
    <v>Finance</v>
    <v>5</v>
    <v>9.41</v>
    <v>3.58</v>
    <v>0.14499999999999999</v>
    <v>2.0802999999999999E-2</v>
    <v>152711200</v>
    <v>POET Technologies Inc. Ist ein Design- und Entwicklungsunternehmen. Es bietet optische Hochgeschwindigkeitsmodule, Lichtquellenprodukte und kundenspezifische optische Module für den Markt für künstliche Intelligenz (KI)-Systeme und für Hyperscale-Rechenzentren. Die photonischen Integrationslösungen basieren auf dem POET Optical Interposer, einer neuartigen, patentierten Plattform, die die Integration elektronischer und photonischer Geräte in einen einzigen Chip mit Halbleiterherstellungstechniken auf Waferebene ermöglicht. Die auf optischen Interposer basierenden Produkte verbrauchen weniger Strom als vergleichbare Produkte, sind kleiner und lassen sich problemlos auf hohe Produktionsmengen skalieren. Darüber hinaus hat das Unternehmen neuartige Lichtquellenprodukte für die Chip-zu-Chip-Datenkommunikation innerhalb und zwischen KI-Servern entwickelt und produziert, die nächste Grenze zur Lösung von Bandbreiten- und Latenzproblemen in KI-Systemen. Die Optical Interposer-Plattform löst Herausforderungen bei der Geräteintegration in einer Vielzahl von Kommunikations-, Computing- und Sensoranwendungen.</v>
    <v>0.50790000000000002</v>
    <v>1086540188</v>
    <v>Nasdaq Stock Market</v>
    <v>XNAS</v>
    <v>XNAS</v>
    <v>120 Eglinton Avenue East, Suite 1107, TORONTO, ON, M4P 1E2 CA</v>
    <v>7.41</v>
    <v>Semiconductors &amp; Semiconductor Equipment</v>
    <v>Aktie</v>
    <v>0</v>
    <v>9</v>
    <v>46128.710707071092</v>
    <v>180</v>
    <v>POET Technologies Inc.</v>
    <v>7</v>
    <v>POET Technologies Inc.</v>
    <v>7.04</v>
    <v>7.1150000000000002</v>
    <v>6.97</v>
    <v>POET</v>
    <v>POET Technologies Inc. (XNAS:POET)</v>
    <v>2010</v>
    <v>6961877</v>
    <v>11230899</v>
    <v>USD</v>
  </rv>
  <rv s="2">
    <v>482</v>
  </rv>
  <rv s="1">
    <v>de-DE</v>
    <v>a1o36h</v>
    <v>268435456</v>
    <v>1</v>
    <v>Unterstützt von Refinitiv</v>
    <v>0</v>
    <v>1</v>
    <v>AXT, INC. (XNAS:AXTI)</v>
    <v>3</v>
    <v>4</v>
    <v>Finance</v>
    <v>5</v>
    <v>77.47</v>
    <v>1.1399999999999999</v>
    <v>13.865</v>
    <v>0.22032399999999999</v>
    <v>55578600</v>
    <v>AXT, Inc. Ist ein Materialwissenschaftliches Unternehmen, das Hochleistungsverbindungen und Halbleiterwafer-Substrate mit einem Element entwickelt und produziert, die Indiumphosphid (InP), Galliumarsenid (GaAs) und Germanium (GE) umfassen. Seine Wafer-Substrate werden verwendet, wenn ein typisches Silizium-Wafer-Substrat die Leistungsanforderungen eines Halbleiters oder optoelektronischen Bauelements nicht erfüllen kann. Es verfügt über zwei Produktlinien: Substrate für Spezialmaterialien und Rohstoffe, die in diese Substrate integriert sind. Sein InP ist ein Halbleiter-Wafer-Substrat, das in Breitband- und Glasfaseranwendungen, 5G-Infrastruktur und Rechenzentrumskonnektivität verwendet wird. Seine halbleitenden GaAs-Substrate werden zur Herstellung optoelektronischer Produkte verwendet, darunter Leuchtdioden mit hoher Helligkeit, die häufig zur Hinterleuchtung von drahtlosen Handgeräten und LCD-Fernsehern sowie für Automobil-, Beschilderungs- und Beleuchtungsanwendungen verwendet werden. Seine GE-Substrate werden in Anwendungen wie Solarzellen für Raumfahrt- und terrestrische Photovoltaikanwendungen verwendet.</v>
    <v>1.585</v>
    <v>4268158587</v>
    <v>Nasdaq Stock Market</v>
    <v>XNAS</v>
    <v>XNAS</v>
    <v>4281 Technology Dr, FREMONT, CA, 94538 US</v>
    <v>77.47</v>
    <v>Semiconductors &amp; Semiconductor Equipment</v>
    <v>Aktie</v>
    <v>0</v>
    <v>12</v>
    <v>46128.710654652343</v>
    <v>1383</v>
    <v>AXT, INC.</v>
    <v>59.3</v>
    <v>AXT, INC.</v>
    <v>62.85</v>
    <v>76.795000000000002</v>
    <v>62.93</v>
    <v>AXTI</v>
    <v>AXT, INC. (XNAS:AXTI)</v>
    <v>1997</v>
    <v>11634252</v>
    <v>13000925</v>
    <v>USD</v>
  </rv>
  <rv s="2">
    <v>484</v>
  </rv>
  <rv s="1">
    <v>de-DE</v>
    <v>a24k27</v>
    <v>268435456</v>
    <v>1</v>
    <v>Unterstützt von Refinitiv</v>
    <v>0</v>
    <v>1</v>
    <v>TOWER SEMICONDUCTOR LTD (XNAS:TSEM)</v>
    <v>3</v>
    <v>4</v>
    <v>Finance</v>
    <v>5</v>
    <v>219.46</v>
    <v>33.42</v>
    <v>-2.96</v>
    <v>-1.3727E-2</v>
    <v>112534000</v>
    <v>Die TOWER SEMICONDUCTOR LTD. arbeitet als unabhängige Halbleiter-Gießerei, die sich in erster Linie auf Spezialprozesstechnologien konzentriert. Das Unternehmen konzentriert sich auf die Herstellung von integrierten Schaltungen, die auf den Design-Spezifikationen seiner Kunden basieren. Das Unternehmen fertigt Halbleiter für seine Kunden, die in erster Linie auf fremden Designs basieren. Es bietet Prozessfertigungsgeometrien von 0,35, 0,50, 0,55, 0,60, 0,80 Mikron und darüber auf 150 Millimeter-Wafern mit 0,35, 0,18 Mikron, auf 200 Millimeter-Wafern mit 0,16, 0,13 und 0,11 Mikron und auf 300-Millimeter-Wafern mit 65 und 45 Nanometer an. Es erbringt auch Design-Unterstützungs- und technische Dienstleistungen. Die integrierten Schaltungen des Unternehmens werden in einer Reihe von Produkten eingebaut, z. B. Unterhaltungselektronik, PC und Kommunikations-, Kfz-, Industrie- und Medizintechnikprodukte. Das Unternehmen verfügt über Produktionsstätten in den Vereinigten Staaten, Israel und Japan.</v>
    <v>0.81330000000000002</v>
    <v>23932605780</v>
    <v>Nasdaq Stock Market</v>
    <v>XNAS</v>
    <v>XNAS</v>
    <v>20 Shaul Amor Avenue, Ramat Gavriel Industrial Park, MIGDAL HAEMEQ, 23105 IL</v>
    <v>216.9</v>
    <v>Semiconductors &amp; Semiconductor Equipment</v>
    <v>Aktie</v>
    <v>109.6802</v>
    <v>15</v>
    <v>46128.710697291404</v>
    <v>5359</v>
    <v>TOWER SEMICONDUCTOR LTD</v>
    <v>205.73</v>
    <v>TOWER SEMICONDUCTOR LTD</v>
    <v>215.26</v>
    <v>212.67</v>
    <v>215.63</v>
    <v>TSEM</v>
    <v>TOWER SEMICONDUCTOR LTD (XNAS:TSEM)</v>
    <v>1993</v>
    <v>1381213</v>
    <v>3643401</v>
    <v>USD</v>
  </rv>
  <rv s="2">
    <v>486</v>
  </rv>
  <rv s="1">
    <v>de-DE</v>
    <v>aftr5r</v>
    <v>268435456</v>
    <v>1</v>
    <v>Unterstützt von Refinitiv</v>
    <v>0</v>
    <v>1</v>
    <v>SUSS MicroTec SE (XETR:SMHN)</v>
    <v>3</v>
    <v>6</v>
    <v>Finance</v>
    <v>7</v>
    <v>65.3</v>
    <v>24</v>
    <v>1.35</v>
    <v>2.1564999999999997E-2</v>
    <v>19115540</v>
    <v>SUSS MicroTec SE, vormals SUESS MicroTec SE, ist eine in Deutschland ansässige Holdinggesellschaft (die Gruppe), die Produkte entwickelt, herstellt und vertreibt, die mikroelektromechanische Systeme und Mikroelektronik in der Halbleiterindustrie nutzen. Die Gruppe ist in den Geschäftsbereichen Advanced Backend Solutions, Photomask Solutions und Central Group Functions tätig. Der Geschäftsbereich Advanced Backend Solutions umfasst die Entwicklung, die Produktion und den Vertrieb von Lösungen in den Produktlinien Imaging, Coating und Bonding. Im Einzelnen werden Mask Aligner und Ultraviolett-Projektionsscanner (Imaging-Systeme), Coater und Entwickler (Coating-Systeme) sowie temporäre und permanente Bonder (Bonding-Systeme) angeboten. Der Geschäftsbereich Photomask Solutions umfasst die Entwicklung, Herstellung und den Vertrieb von Systemen zur Herstellung oder Reinigung von Photomasken für die Halbleiterindustrie. Der Bereich Zentrale Konzernfunktionen umfasst alle übrigen Aktivitäten und die Kosten der zentralen Konzernfunktionen.</v>
    <v>2.0253000000000001</v>
    <v>873580100</v>
    <v>Xetra</v>
    <v>XETR</v>
    <v>XETR</v>
    <v>Schleissheimer Str. 90, GARCHING, BAYERN, 85748 DE</v>
    <v>65.3</v>
    <v>Semiconductors &amp; Semiconductor Equipment</v>
    <v>Aktie</v>
    <v>21.676500000000001</v>
    <v>18</v>
    <v>46128.700069444443</v>
    <v>1497</v>
    <v>SUSS MicroTec SE</v>
    <v>62.7</v>
    <v>SUSS MicroTec SE</v>
    <v>63.65</v>
    <v>63.95</v>
    <v>62.6</v>
    <v>SMHN</v>
    <v>SUSS MicroTec SE (XETR:SMHN)</v>
    <v>2017</v>
    <v>90988</v>
    <v>173260</v>
    <v>EUR</v>
  </rv>
  <rv s="2">
    <v>488</v>
  </rv>
  <rv s="1">
    <v>de-DE</v>
    <v>a1xygh</v>
    <v>268435456</v>
    <v>1</v>
    <v>Unterstützt von Refinitiv</v>
    <v>0</v>
    <v>1</v>
    <v>MARVELL TECHNOLOGY, INC. (XNAS:MRVL)</v>
    <v>3</v>
    <v>4</v>
    <v>Finance</v>
    <v>5</v>
    <v>138.19</v>
    <v>48.09</v>
    <v>-0.67</v>
    <v>-4.9779999999999998E-3</v>
    <v>874458300</v>
    <v>Marvell Technology, Inc. Ist zusammen mit seinen Tochtergesellschaften ein Anbieter von Halbleiterlösungen für Dateninfrastrukturen, die vom Kern des Rechenzentrums bis zur Netzwerkperipherie reichen. Das Unternehmen beschäftigt sich mit der Entwicklung, Entwicklung und dem Verkauf von integrierten Schaltungen. Die Produktlösungen decken verschiedene Endmärkte ab: Rechenzentren, Unternehmensnetzwerke, Carrier-Infrastruktur, Verbraucher und Industrie. Das Produktangebot umfasst CXL, Datenverarbeitungseinheiten, Sicherheitslösungen, kohärente DSPs, kohärente DSPs, kohärente DSPs, Rechenzentrums-Switches, optische DCI-Module, Enterprise-Switches, Ethernet-Controller, Ethernet-PHYs, PCIe-Retimer, Lineartreiber, PAM DSPs, Transimpedanzverstärker, Fiber Channel, HDD, Speicherbeschleuniger und SSD-Controller. Das Unternehmen entwickelt Halbleiterlösungen, die auf individuelle Kundenspezifikationen zugeschnitten sind und auf Systemebene Differenzierung für künstliche Intelligenz, Rechenzentren, Computing, Netzwerke, Carrier, Storage-, Luft- und Raumfahrt- und Verteidigungsanwendungen.</v>
    <v>2.0097</v>
    <v>117116200119</v>
    <v>Nasdaq Stock Market</v>
    <v>XNAS</v>
    <v>XNAS</v>
    <v>1000 N. West Street, Suite 1200, WILMINGTON, DE, 19801 US</v>
    <v>134.69</v>
    <v>Semiconductors &amp; Semiconductor Equipment</v>
    <v>Aktie</v>
    <v>46.8352</v>
    <v>21</v>
    <v>46128.710703668752</v>
    <v>7480</v>
    <v>MARVELL TECHNOLOGY, INC.</v>
    <v>128.41999999999999</v>
    <v>MARVELL TECHNOLOGY, INC.</v>
    <v>132.1</v>
    <v>133.93</v>
    <v>134.6</v>
    <v>MRVL</v>
    <v>MARVELL TECHNOLOGY, INC. (XNAS:MRVL)</v>
    <v>2020</v>
    <v>13293733</v>
    <v>23952002</v>
    <v>USD</v>
  </rv>
  <rv s="2">
    <v>490</v>
  </rv>
  <rv s="1">
    <v>de-DE</v>
    <v>a1yv52</v>
    <v>268435456</v>
    <v>1</v>
    <v>Unterstützt von Refinitiv</v>
    <v>0</v>
    <v>1</v>
    <v>NVIDIA CORPORATION (XNAS:NVDA)</v>
    <v>3</v>
    <v>4</v>
    <v>Finance</v>
    <v>5</v>
    <v>212.18989999999999</v>
    <v>95.04</v>
    <v>-0.56999999999999995</v>
    <v>-2.8660000000000001E-3</v>
    <v>24300000000</v>
    <v>Die NVIDIA Corporation ist ein Unternehmen für die komplette Computerinfrastruktur. Das Unternehmen beschäftigt sich mit beschleunigtem Computing, um die anspruchsvollen Computerprobleme zu lösen. Zu den Segmenten des Unternehmens gehören Compute &amp; Networking und Graphics. Das Segment Compute &amp; Networking umfasst seine Rechenzentrums-beschleunigten Computerplattformen sowie Lösungen und Software für künstliche Intelligenz (KI), Netzwerke, Automobilplattformen und Lösungen für autonome und Elektrofahrzeuge, Jetson für Robotik und andere Embedded-Plattformen sowie DGX Cloud Computing-Services. Das Grafiksegment umfasst GeForce GPUs für Spiele und PCs, den GeForce NOW Game Streaming Service und die zugehörige Infrastruktur sowie Lösungen für Gaming-Plattformen, Quadro/NVIDIA RTX GPUs für Enterprise-Workstations-Grafiken, virtuelle GPU-Software für Cloud-basiertes visuelles und virtuelles Computing, Automobilplattformen für Infotainment-Systeme und Omniverse Enterprise-Software für die Erstellung und den Betrieb dreidimensionaler Internetanwendungen.</v>
    <v>2.3068</v>
    <v>4818690000000</v>
    <v>Nasdaq Stock Market</v>
    <v>XNAS</v>
    <v>XNAS</v>
    <v>2788 San Tomas Expressway, SANTA CLARA, CA, 95051 US</v>
    <v>199.85</v>
    <v>Semiconductors &amp; Semiconductor Equipment</v>
    <v>Aktie</v>
    <v>40.454500000000003</v>
    <v>24</v>
    <v>46128.71073210625</v>
    <v>42000</v>
    <v>NVIDIA CORPORATION</v>
    <v>195.81</v>
    <v>NVIDIA CORPORATION</v>
    <v>197.54</v>
    <v>198.3</v>
    <v>198.87</v>
    <v>NVDA</v>
    <v>NVIDIA CORPORATION (XNAS:NVDA)</v>
    <v>1998</v>
    <v>74986633</v>
    <v>166975194</v>
    <v>USD</v>
  </rv>
  <rv s="2">
    <v>492</v>
  </rv>
  <rv s="1">
    <v>de-DE</v>
    <v>a1ndww</v>
    <v>268435456</v>
    <v>1</v>
    <v>Unterstützt von Refinitiv</v>
    <v>0</v>
    <v>1</v>
    <v>ADVANCED MICRO DEVICES, INC. (XNAS:AMD)</v>
    <v>3</v>
    <v>4</v>
    <v>Finance</v>
    <v>5</v>
    <v>279.33999999999997</v>
    <v>83.75</v>
    <v>19.3</v>
    <v>7.4771000000000004E-2</v>
    <v>1630339000</v>
    <v>Advanced Micro Devices, Inc. Ist ein globales Halbleiterunternehmen. Das Unternehmen konzentriert sich auf Hochleistungs-Computing-, Grafik- und Visualisierungstechnologien. Zu den Segmenten zählen Data Center, Client und Gaming sowie Embedded. Das Segment Data Center umfasst künstliche Intelligenz (KI)-Beschleuniger, Mikroprozessoren (CPUs) für Server, Grafikprozessoren (GPUs), Accelerated Processing Units (APUs), Data Processing Units (DPUs), Field Programmable Gate Arrays (FPGAs), Smart Network Interface Cards (SmartNICs) und Adaptive System-on-Chip (SoC)-Produkte für Rechenzentren. Das Segment Client und Gaming umfasst CPUs, APUs, Chipsätze für Desktops und Notebooks, diskrete GPUs sowie halbindividuelle SoC-Produkte und Entwicklungsservices. Das Embedded-Segment umfasst integrierte CPUs, GPUs, APUs, FPGAs, System-on-Module (SOMs) und Adaptive SoC-Produkte. Das Unternehmen vermarktet und verkauft seine Produkte unter der Marke AMD. Zu den Produkten gehören AMD EPYC, AMD Ryzen, AMD Ryzen pro, Virtex UltraScale+ und andere.</v>
    <v>2.0524</v>
    <v>452288645380</v>
    <v>Nasdaq Stock Market</v>
    <v>XNAS</v>
    <v>XNAS</v>
    <v>2485 Augustine Drive, SANTA CLARA, CA, 95054 US</v>
    <v>279.33999999999997</v>
    <v>Semiconductors &amp; Semiconductor Equipment</v>
    <v>Aktie</v>
    <v>106.5197</v>
    <v>27</v>
    <v>46128.710724525001</v>
    <v>31000</v>
    <v>ADVANCED MICRO DEVICES, INC.</v>
    <v>261.51</v>
    <v>ADVANCED MICRO DEVICES, INC.</v>
    <v>265</v>
    <v>277.42</v>
    <v>258.12</v>
    <v>AMD</v>
    <v>ADVANCED MICRO DEVICES, INC. (XNAS:AMD)</v>
    <v>1969</v>
    <v>40979564</v>
    <v>32358991</v>
    <v>USD</v>
  </rv>
  <rv s="2">
    <v>494</v>
  </rv>
  <rv s="1">
    <v>de-DE</v>
    <v>a1nz8m</v>
    <v>268435456</v>
    <v>1</v>
    <v>Unterstützt von Refinitiv</v>
    <v>0</v>
    <v>1</v>
    <v>BROADCOM INC. (XNAS:AVGO)</v>
    <v>3</v>
    <v>4</v>
    <v>Finance</v>
    <v>5</v>
    <v>414.61</v>
    <v>161.61000000000001</v>
    <v>1.23</v>
    <v>3.0999999999999999E-3</v>
    <v>4734668000</v>
    <v>Broadcom Inc. Ist ein globales Technologieunternehmen, das eine Reihe von Halbleitern, Unternehmenssoftware und Sicherheitslösungen entwickelt, entwickelt und vertreibt. Das Unternehmen ist in zwei Segmenten tätig: Halbleiterlösungen und Infrastruktursoftware. Das Segment der Halbleiterlösungen umfasst alle Produktlinien und Lizenzen für geistiges Eigentum (IP). Es bietet eine Vielzahl von Hochfrequenz-Halbleiterbauelementen, drahtlosen Konnektivitätslösungen, kundenspezifischen Touch-Controllern und induktiven Ladelösungen für mobile Anwendungen. Das Segment Infrastruktur-Software umfasst Private und Hybrid Cloud, Anwendungsentwicklung und -Bereitstellung, softwaredefinierte Edge, Anwendungsnetzwerk und -Sicherheit, Mainframe-, verteilte und Cybersicherheitslösungen sowie FC SAN. Es bietet ein Portfolio an Softwarelösungen, mit denen Kunden Anwendungen auf Mainframe-, verteilten, mobilen und Cloud-Plattformen planen, entwickeln, automatisieren, verwalten und sichern können.</v>
    <v>1.3834</v>
    <v>1884161130600</v>
    <v>Nasdaq Stock Market</v>
    <v>XNAS</v>
    <v>XNAS</v>
    <v>3421 Hillview Avenue, PALO ALTO, CA, 94304 US</v>
    <v>399.68</v>
    <v>Semiconductors &amp; Semiconductor Equipment</v>
    <v>Aktie</v>
    <v>83.427700000000002</v>
    <v>30</v>
    <v>46128.710743680465</v>
    <v>33000</v>
    <v>BROADCOM INC.</v>
    <v>392.35</v>
    <v>BROADCOM INC.</v>
    <v>395.35</v>
    <v>397.95</v>
    <v>396.72</v>
    <v>AVGO</v>
    <v>BROADCOM INC. (XNAS:AVGO)</v>
    <v>2018</v>
    <v>9226658</v>
    <v>25824848</v>
    <v>USD</v>
  </rv>
  <rv s="2">
    <v>496</v>
  </rv>
  <rv s="1">
    <v>de-DE</v>
    <v>a1vmf2</v>
    <v>268435456</v>
    <v>1</v>
    <v>Unterstützt von Refinitiv</v>
    <v>0</v>
    <v>1</v>
    <v>INTEL CORPORATION (XNAS:INTC)</v>
    <v>3</v>
    <v>4</v>
    <v>Finance</v>
    <v>5</v>
    <v>68.23</v>
    <v>18.25</v>
    <v>2.6949999999999998</v>
    <v>4.1500000000000002E-2</v>
    <v>5021010000</v>
    <v>Intel Corporation ist in der Entwicklung und Herstellung von Halbleitern tätig. Sie ist in drei Segmenten tätig: Intel Produkte, Intel Foundry und alle anderen. Das Produktsegment von Intel umfasst die Client Computing Group (CCG), Data Center and AI (DCAI), Network and Edge (NEX). Das CCG konzentriert sich auf die langfristige Integration von Betriebssystem, Systemarchitektur, Hardware und Anwendungen, die PC-Erlebnisse ermöglichen. Das DCAI-Segment bietet Cloud-Service-Providern und Unternehmenskunden Workload-optimierte Lösungen sowie Halbleitergeräte für Kommunikationsdienstleister. Das NEX-Segment unterstützt Netzwerke und Edge-Computing-Systeme von unflexibler Hardware mit fester Funktion bis hin zu universellen Rechen-, Beschleunigungs- und Netzwerkgeräten, die Cloud-native Software auf programmierbarer Hardware ausführen. Das Segment Intel Foundry umfasst die Entwicklung von Gießereitechnologien, Gießereiherstellung und -Lieferkette sowie Gießereidienste. Alle anderen Segmente umfassen Altera, Mobileye und andere.</v>
    <v>1.6232</v>
    <v>339596011350</v>
    <v>Nasdaq Stock Market</v>
    <v>XNAS</v>
    <v>XNAS</v>
    <v>2200 Mission College Blvd, Rnb-4-151, SANTA CLARA, CA, 95054 US</v>
    <v>68.23</v>
    <v>Semiconductors &amp; Semiconductor Equipment</v>
    <v>Aktie</v>
    <v>0</v>
    <v>33</v>
    <v>46128.710758888279</v>
    <v>85100</v>
    <v>INTEL CORPORATION</v>
    <v>64.272000000000006</v>
    <v>INTEL CORPORATION</v>
    <v>64.94</v>
    <v>67.635000000000005</v>
    <v>64.94</v>
    <v>INTC</v>
    <v>INTEL CORPORATION (XNAS:INTC)</v>
    <v>1989</v>
    <v>63051561</v>
    <v>101300248</v>
    <v>USD</v>
  </rv>
  <rv s="2">
    <v>498</v>
  </rv>
  <rv s="1">
    <v>de-DE</v>
    <v>a24kjc</v>
    <v>268435456</v>
    <v>1</v>
    <v>Unterstützt von Refinitiv</v>
    <v>0</v>
    <v>1</v>
    <v>Taiwan Semiconductor Manufacturing Company Limited (XNYS:TSM)</v>
    <v>3</v>
    <v>4</v>
    <v>Finance</v>
    <v>5</v>
    <v>390.20499999999998</v>
    <v>145.84</v>
    <v>-12.21</v>
    <v>-3.2551000000000004E-2</v>
    <v>5186505000</v>
    <v>Taiwan Semiconductor Manufacturing Co Ltd ist ein in Taiwan ansässiges Unternehmen, das hauptsächlich Dienstleistungen im Bereich der Herstellung integrierter Schaltungen anbietet. Die Dienstleistungen zur Herstellung integrierter Schaltkreise umfassen Prozesstechnologie, spezielle Prozesstechnologie, Design-Ökosystem-Unterstützung, Maskentechnologie, 3DFabricTM Advanced Packaging und Silizium-Stapelungstechnologie. Das Unternehmen hat den Transfer und die Massenproduktion der 5nm-Technologie abgeschlossen und beschäftigt sich mit der Forschung und Entwicklung der 3nm- und 2nm-Prozesstechnologie. Die Produktpalette deckt die gesamte elektronische Anwendungsindustrie ab, einschließlich Personalcomputer und Peripheriegeräte, Produkte für Informationsanwendungen, drahtgebundene und drahtlose Kommunikationssysteme, Server und Rechenzentren.</v>
    <v>1.3853</v>
    <v>1882130799450</v>
    <v>New York Stock Exchange</v>
    <v>XNYS</v>
    <v>XNYS</v>
    <v>No.8, Li-Hsin 6th Road, Hsinchu Science Park, HSINCHU, HSINCHU, 300 TW</v>
    <v>370.17</v>
    <v>Semiconductors &amp; Semiconductor Equipment</v>
    <v>Aktie</v>
    <v>34.325899999999997</v>
    <v>36</v>
    <v>46128.710768402343</v>
    <v>52045</v>
    <v>Taiwan Semiconductor Manufacturing Company Limited</v>
    <v>362.70460000000003</v>
    <v>Taiwan Semiconductor Manufacturing Company Limited</v>
    <v>368.86</v>
    <v>362.89</v>
    <v>375.1</v>
    <v>TSM</v>
    <v>Taiwan Semiconductor Manufacturing Company Limited (XNYS:TSM)</v>
    <v>1987</v>
    <v>18326923</v>
    <v>13099111</v>
    <v>USD</v>
  </rv>
  <rv s="2">
    <v>500</v>
  </rv>
  <rv s="5">
    <v>de-DE</v>
    <v>a21k2w</v>
    <v>268435456</v>
    <v>1</v>
    <v>Unterstützt von Refinitiv</v>
    <v>8</v>
    <v>9</v>
    <v>QUALCOMM INCORPORATED (XNAS:QCOM)</v>
    <v>11</v>
    <v>12</v>
    <v>Finance</v>
    <v>5</v>
    <v>205.95</v>
    <v>121.99</v>
    <v>1.79</v>
    <v>1.3453999999999999E-2</v>
    <v>1067000000</v>
    <v>Qualcomm Incorporated ist in der Entwicklung und Vermarktung von grundlegenden Technologien für die drahtlose Industrie tätig, darunter drahtlose Konnektivität der dritten Generation (3G), vierten Generation (4G) und fünften Generation (5G) sowie Hochleistungs- und Low-Power-Computing, einschließlich künstlicher Intelligenz auf dem Gerät. Zu den Segmenten gehören Qualcomm CDMA Technologies (QCT), Qualcomm Technology Licensing (QTL) und Qualcomm Strategic Initiatives. QCT entwickelt und liefert integrierte Schaltkreise und Systemsoftware auf der Grundlage von 3G/4G/5G und anderen Technologien, einschließlich Hochfrequenz-Frontend, digitalem Cockpit und fortschrittlicher Fahrerassistenz und automatischem Fahren, Internet der Dinge einschließlich Unterhaltungselektronik, Industriegeräte und Edge-Netzwerkprodukte. QTL gewährt Lizenzen oder gewährt anderweitig Rechte zur Nutzung von Teilen seines Portfolios an geistigem Eigentum, die bestimmte Patentrechte enthalten, die für die Herstellung und den Verkauf bestimmter drahtloser Produkte von wesentlicher Bedeutung und/oder nützlich sind.</v>
    <v>1.2523</v>
    <v>42</v>
    <v>143874280000</v>
    <v>Nasdaq Stock Market</v>
    <v>XNAS</v>
    <v>XNAS</v>
    <v>5775 Morehouse Drive, SAN DIEGO, CA, 92121 US</v>
    <v>135.70140000000001</v>
    <v>Semiconductors &amp; Semiconductor Equipment</v>
    <v>Aktie</v>
    <v>27.857199999999999</v>
    <v>43</v>
    <v>46128.710749849219</v>
    <v>52000</v>
    <v>QUALCOMM INCORPORATED</v>
    <v>131.84</v>
    <v>QUALCOMM INCORPORATED</v>
    <v>131.99</v>
    <v>134.84</v>
    <v>133.05000000000001</v>
    <v>QCOM</v>
    <v>QUALCOMM INCORPORATED (XNAS:QCOM)</v>
    <v>1991</v>
    <v>3418169</v>
    <v>12273405</v>
    <v>USD</v>
  </rv>
  <rv s="2">
    <v>502</v>
  </rv>
  <rv s="1">
    <v>de-DE</v>
    <v>a1y4oc</v>
    <v>268435456</v>
    <v>1</v>
    <v>Unterstützt von Refinitiv</v>
    <v>0</v>
    <v>1</v>
    <v>MICRON TECHNOLOGY, INC. (XNAS:MU)</v>
    <v>3</v>
    <v>4</v>
    <v>Finance</v>
    <v>5</v>
    <v>471.34</v>
    <v>65.644999999999996</v>
    <v>1.52</v>
    <v>3.3319999999999999E-3</v>
    <v>1127734000</v>
    <v>Micron Technology, Inc. Bietet Speicher- und Speicherlösungen. Das Unternehmen bietet ein Portfolio an leistungsstarken DRAM-, NAND- und NOR-Speicher- und Speicherprodukten über seine Marken Micron und Crucial. Die Produkte des Unternehmens ermöglichen Fortschritte bei künstlicher Intelligenz (KI) und rechenintensiven Anwendungen. Zu den Segmenten gehören Compute and Networking Business Unit (CNBU), Mobile Business Unit (MBU), Embedded Business Unit (EBU) und Storage Business Unit (SBU). Das CNBU-Segment umfasst Speicherprodukte und -Lösungen, die für Rechenzentren, PC, Grafik und Netzwerkmärkte verkauft werden. Das MBU-Segment umfasst Speicher- und Speicherprodukte, die auf dem Smartphone- und anderen Märkten für mobile Geräte verkauft werden. Das EBU-Segment umfasst Speicher- und Speicherprodukte und -Lösungen, die über die Embedded-Märkte für Automobil, Industrie und Verbraucher an die intelligente Peripherie verkauft werden. Das SBU-Segment umfasst SSDs und Speicherlösungen auf Komponentenebene, die in Rechenzentren, PCs und Verbrauchermärkten verkauft werden.</v>
    <v>1.7721</v>
    <v>516220238500</v>
    <v>Nasdaq Stock Market</v>
    <v>XNAS</v>
    <v>XNAS</v>
    <v>8000 S Federal Way, Po Box 6, BOISE, ID, 83716-9632 US</v>
    <v>462.3</v>
    <v>Semiconductors &amp; Semiconductor Equipment</v>
    <v>Aktie</v>
    <v>21.611000000000001</v>
    <v>46</v>
    <v>46128.710740462499</v>
    <v>53000</v>
    <v>MICRON TECHNOLOGY, INC.</v>
    <v>444.74</v>
    <v>MICRON TECHNOLOGY, INC.</v>
    <v>453</v>
    <v>457.75</v>
    <v>456.23</v>
    <v>MU</v>
    <v>MICRON TECHNOLOGY, INC. (XNAS:MU)</v>
    <v>1984</v>
    <v>21898222</v>
    <v>50162056</v>
    <v>USD</v>
  </rv>
  <rv s="2">
    <v>504</v>
  </rv>
  <rv s="1">
    <v>de-DE</v>
    <v>a1nhlh</v>
    <v>268435456</v>
    <v>1</v>
    <v>Unterstützt von Refinitiv</v>
    <v>0</v>
    <v>1</v>
    <v>AMAZON.COM, INC. (XNAS:AMZN)</v>
    <v>3</v>
    <v>4</v>
    <v>Finance</v>
    <v>5</v>
    <v>258.60000000000002</v>
    <v>165.285</v>
    <v>0.01</v>
    <v>4.0240000000000001E-5</v>
    <v>10754390000</v>
    <v>Amazon.com, Inc. bietet eine Reihe von Produkten und Dienstleistungen für Kunden an. Die in den Geschäften des Unternehmens angebotenen Produkte umfassen Waren und Inhalte, die das Unternehmen zum Wiederverkauf erworben hat, sowie Produkte, die von Drittanbietern angeboten werden. Zu den Segmenten des Unternehmens gehören Nordamerika, International und Amazon Web Services (AWS). Das Unternehmen bedient seine Kunden über seine Online- und Ladengeschäfte und konzentriert sich dabei auf Auswahl, Preis und Komfort. Die Kunden greifen auf die Angebote des Unternehmens über seine Websites, mobile Apps, Alexa, Geräte, Streaming und physische Besuche in seinen Geschäften zu. Darüber hinaus produziert und vertreibt das Unternehmen elektronische Geräte, darunter Kindle, Fire Tablet, Fire TV, Echo, Ring, Blink und eero, und entwickelt und produziert Medieninhalte. AWS bietet Entwicklern und Unternehmen aller Größenordnungen, einschließlich Start-ups, Behörden und akademischen Einrichtungen, eine Reihe von On-Demand-Technologiediensten an, darunter Rechen-, Speicher-, Datenbank-, Analyse- und maschinelles Lernen-Dienste sowie andere Dienste.</v>
    <v>1.4165000000000001</v>
    <v>2672573458900</v>
    <v>Nasdaq Stock Market</v>
    <v>XNAS</v>
    <v>XNAS</v>
    <v>410 Terry Avenue North, SEATTLE, WA, 98109 US</v>
    <v>250</v>
    <v>Diversified Retail</v>
    <v>Aktie</v>
    <v>34.649099999999997</v>
    <v>49</v>
    <v>46128.71076726797</v>
    <v>1576000</v>
    <v>AMAZON.COM, INC.</v>
    <v>244.2</v>
    <v>AMAZON.COM, INC.</v>
    <v>249</v>
    <v>248.51</v>
    <v>248.5</v>
    <v>AMZN</v>
    <v>AMAZON.COM, INC. (XNAS:AMZN)</v>
    <v>1996</v>
    <v>22581778</v>
    <v>45032152</v>
    <v>USD</v>
  </rv>
  <rv s="2">
    <v>506</v>
  </rv>
  <rv s="5">
    <v>de-DE</v>
    <v>a1xzim</v>
    <v>268435456</v>
    <v>1</v>
    <v>Unterstützt von Refinitiv</v>
    <v>8</v>
    <v>9</v>
    <v>MICROSOFT CORPORATION (XNAS:MSFT)</v>
    <v>11</v>
    <v>12</v>
    <v>Finance</v>
    <v>5</v>
    <v>555.45000000000005</v>
    <v>355.67</v>
    <v>7.6950000000000003</v>
    <v>1.8713E-2</v>
    <v>7425629000</v>
    <v>Microsoft Corporation ist ein Technologieunternehmen. Das Unternehmen entwickelt und unterstützt Software, Services, Geräte und Lösungen. Zu den Segmenten des Unternehmens gehören Produktivität und Geschäftsprozesse, Intelligent Cloud und mehr Personal Computing. Das Segment Produktivität und Geschäftsprozesse umfasst Produkte und Dienstleistungen in seinem Portfolio an Produktivitäts-, Kommunikations- und Informationsdiensten. Dieses Segment umfasst hauptsächlich: Office Commercial, Office Consumer, LinkedIn und Dynamics Business Solutions. Das Segment Intelligent Cloud besteht aus Serverprodukten und Cloud-Services, einschließlich Azure und anderen Cloud-Services, SQL Server, Windows Server, Visual Studio, System Center, und zugehörige Client Access Licenses (CALs) sowie Nuance und GitHub und Enterprise Services, einschließlich Enterprise Services, Enterprise Support Services, Branchenlösungen und Nuance Professional Services. Das Segment mehr Personal Computing umfasst in erster Linie Windows, Geräte, Gaming sowie Such- und Nachrichtenwerbung.</v>
    <v>1.1188</v>
    <v>54</v>
    <v>3110707372535</v>
    <v>Nasdaq Stock Market</v>
    <v>XNAS</v>
    <v>XNAS</v>
    <v>One Microsoft Way, REDMOND, WA, 98052 US</v>
    <v>420.56</v>
    <v>Software &amp; IT Services</v>
    <v>Aktie</v>
    <v>26.210999999999999</v>
    <v>55</v>
    <v>46128.710701585158</v>
    <v>228000</v>
    <v>MICROSOFT CORPORATION</v>
    <v>412.14</v>
    <v>MICROSOFT CORPORATION</v>
    <v>419.97</v>
    <v>418.91500000000002</v>
    <v>411.22</v>
    <v>MSFT</v>
    <v>MICROSOFT CORPORATION (XNAS:MSFT)</v>
    <v>1993</v>
    <v>23001760</v>
    <v>32194949</v>
    <v>USD</v>
  </rv>
  <rv s="2">
    <v>508</v>
  </rv>
  <rv s="1">
    <v>de-DE</v>
    <v>a1u3rw</v>
    <v>268435456</v>
    <v>1</v>
    <v>Unterstützt von Refinitiv</v>
    <v>0</v>
    <v>1</v>
    <v>ALPHABET INC. (XNAS:GOOGL)</v>
    <v>3</v>
    <v>4</v>
    <v>Finance</v>
    <v>5</v>
    <v>349</v>
    <v>146.1</v>
    <v>4.7199999999999999E-2</v>
    <v>1.4000000000000001E-4</v>
    <v>12097000000</v>
    <v>Alphabet Inc. Ist eine Holdinggesellschaft. Zu den Segmenten des Unternehmens gehören Google Services, Google Cloud und andere Wetten. Das Segment Google Services umfasst Produkte und Dienstleistungen wie Anzeigen, Android, Chrome, Geräte, Google Maps, Google Play, Suche und YouTube. Das Segment Google Cloud umfasst Infrastruktur- und Plattformdienste, Collaboration-Tools und andere Services für Unternehmenskunden. Das Segment Sonstige Wetten ist im Verkauf von Gesundheitsdienstleistungen und Internetdiensten tätig. Die Google Cloud bietet unternehmensfähige Cloud-Dienste, einschließlich Google Cloud Platform und Google Workspace. Die Google Cloud Platform bietet Zugriff auf Lösungen wie künstliche Intelligenz (KI), einschließlich KI-Infrastruktur, Vertex KI-Plattform und Gemini für Google Cloud, Cybersicherheit sowie Daten und Analysen. Google Workspace umfasst Cloud-basierte Kommunikations- und Collaboration-Tools für Unternehmen wie Kalender, Gmail, Docs, Drive, und treffen Sie sich.</v>
    <v>1.1456</v>
    <v>4078711618399</v>
    <v>Nasdaq Stock Market</v>
    <v>XNAS</v>
    <v>XNAS</v>
    <v>1600 Amphitheatre Parkway, MOUNTAIN VIEW, CA, 94043 US</v>
    <v>339.88</v>
    <v>Software &amp; IT Services</v>
    <v>Aktie</v>
    <v>31.190300000000001</v>
    <v>58</v>
    <v>46128.710777823435</v>
    <v>190820</v>
    <v>ALPHABET INC.</v>
    <v>335.72</v>
    <v>ALPHABET INC.</v>
    <v>338.43</v>
    <v>337.16719999999998</v>
    <v>337.12</v>
    <v>GOOGL</v>
    <v>ALPHABET INC. (XNAS:GOOGL)</v>
    <v>2015</v>
    <v>8311401</v>
    <v>28190353</v>
    <v>USD</v>
  </rv>
  <rv s="2">
    <v>510</v>
  </rv>
  <rv s="1">
    <v>de-DE</v>
    <v>a1slm7</v>
    <v>268435456</v>
    <v>1</v>
    <v>Unterstützt von Refinitiv</v>
    <v>0</v>
    <v>1</v>
    <v>META PLATFORMS, INC. (XNAS:META)</v>
    <v>3</v>
    <v>4</v>
    <v>Finance</v>
    <v>5</v>
    <v>796.25</v>
    <v>479.8</v>
    <v>2.44</v>
    <v>3.6329999999999999E-3</v>
    <v>2529555000</v>
    <v>Meta Platforms, Inc. Baut auf künstlicher Intelligenz und immersiven Technologien menschliche Verbindungen auf. Die Produkte des Unternehmens ermöglichen es Menschen, über mobile Geräte, PCs, Virtual Reality (VR) und Mixed Reality (MR) Headsets, Augmented Reality (AR) und Wearables mit Freunden und Familie zu kommunizieren und mit ihnen zu teilen. Darüber hinaus hilft es Menschen, herauszufinden und mehr darüber zu erfahren, was in der Welt um sie herum vor sich geht, und ermöglicht es Menschen, ihre Erfahrungen, Ideen, Fotos, Videos und andere Inhalte mit Zielgruppen zu teilen, die von ihren engsten Familienmitgliedern und Freunden bis hin zur breiten Öffentlichkeit reichen. Zu den Segmenten des Unternehmens gehören Family of Apps (FOA) und Reality Labs (RL). FOA-Segment umfasst Facebook, Instagram, Messenger, WhatsApp und Threads. Das RL-Segment umfasst seine virtuelle, erweiterte und gemischte Realität-bezogene Hardware, -Software und -Inhalte für Verbraucher. Zu den Produktangeboten für VR gehören Meta Quest-Geräte sowie Software und Inhalte, die im Meta Horizon Store erhältlich sind.</v>
    <v>1.3375999999999999</v>
    <v>1704970661100</v>
    <v>Nasdaq Stock Market</v>
    <v>XNAS</v>
    <v>XNAS</v>
    <v>1 Meta Way, MENLO PARK, CA, 94025 US</v>
    <v>677.41</v>
    <v>Software &amp; IT Services</v>
    <v>Aktie</v>
    <v>23.058700000000002</v>
    <v>61</v>
    <v>46128.710747765625</v>
    <v>78865</v>
    <v>META PLATFORMS, INC.</v>
    <v>667.75</v>
    <v>META PLATFORMS, INC.</v>
    <v>676.21</v>
    <v>674.02</v>
    <v>671.58</v>
    <v>META</v>
    <v>META PLATFORMS, INC. (XNAS:META)</v>
    <v>2004</v>
    <v>4594738</v>
    <v>17306846</v>
    <v>USD</v>
  </rv>
  <rv s="2">
    <v>512</v>
  </rv>
  <rv s="5">
    <v>de-DE</v>
    <v>a1zbec</v>
    <v>268435456</v>
    <v>1</v>
    <v>Unterstützt von Refinitiv</v>
    <v>8</v>
    <v>9</v>
    <v>ORACLE CORPORATION (XNYS:ORCL)</v>
    <v>11</v>
    <v>12</v>
    <v>Finance</v>
    <v>5</v>
    <v>345.72</v>
    <v>121.235</v>
    <v>8</v>
    <v>4.7111E-2</v>
    <v>2876046000</v>
    <v>Oracle Corporation bietet integrierte Anwendungspakete sowie eine sichere, autonome Infrastruktur in der Oracle Cloud. Das Unternehmen ist in drei Geschäftsbereichen tätig: Cloud und Lizenz, Hardware und Service. Sein Cloud- und Lizenzgeschäft ist im Verkauf, Marketing und Bereitstellung seiner Unternehmensanwendungen und Infrastrukturtechnologien über Cloud- und On-Premise-Bereitstellungsmodelle tätig, einschließlich Cloud-Services und Lizenzsupport sowie Cloud-Lizenz- und On-Premise-Lizenzangebote. Das Hardwaregeschäft bietet Infrastrukturtechnologien wie Oracle Engineered Systems, Server, Speicher, branchenspezifische Hardware, Betriebssysteme, Virtualisierungs-, Verwaltungs- und andere hardwarebezogene Software zur Unterstützung verschiedener IT-Umgebungen. Das Servicegeschäft bietet Kunden und Partnern Services an, um die Performance ihrer Investitionen in Oracle-Anwendungen und Infrastrukturtechnologien zu maximieren.</v>
    <v>1.617</v>
    <v>66</v>
    <v>511389739260</v>
    <v>New York Stock Exchange</v>
    <v>XNYS</v>
    <v>XNYS</v>
    <v>2300 Oracle Way, AUSTIN, TX, 78741 US</v>
    <v>180.26</v>
    <v>Software &amp; IT Services</v>
    <v>Aktie</v>
    <v>31.464099999999998</v>
    <v>67</v>
    <v>46128.710697673436</v>
    <v>162000</v>
    <v>ORACLE CORPORATION</v>
    <v>173.8</v>
    <v>ORACLE CORPORATION</v>
    <v>176.34</v>
    <v>177.81</v>
    <v>169.81</v>
    <v>ORCL</v>
    <v>ORACLE CORPORATION (XNYS:ORCL)</v>
    <v>2005</v>
    <v>31838036</v>
    <v>28549611</v>
    <v>USD</v>
  </rv>
  <rv s="2">
    <v>514</v>
  </rv>
  <rv s="5">
    <v>de-DE</v>
    <v>a1v6nm</v>
    <v>268435456</v>
    <v>1</v>
    <v>Unterstützt von Refinitiv</v>
    <v>8</v>
    <v>9</v>
    <v>INTERNATIONAL BUSINESS MACHINES CORPORATION (XNYS:IBM)</v>
    <v>11</v>
    <v>12</v>
    <v>Finance</v>
    <v>5</v>
    <v>324.89999999999998</v>
    <v>220.72</v>
    <v>5.6849999999999996</v>
    <v>2.3222999999999997E-2</v>
    <v>938034400</v>
    <v>Die International Business Machines Corporation ist ein Anbieter globaler Hybrid-Cloud- und künstlicher Intelligenz (KI) sowie Beratungskompetenz. Zu den Segmenten des Unternehmens gehören Software, Consulting, Infrastruktur und Finanzierung. Das Softwaresegment umfasst Hybrid-Cloud- und KI-Plattformen, die es Kunden ermöglichen, ihre digitalen und KI-Transformationen über die Anwendungen, Daten und Umgebungen hinweg durchzuführen, in denen sie arbeiten. Das Segment Consulting konzentriert sich auf die Integration von Kompetenzen in den Bereichen Strategie, Erfahrung, Technologie und Betrieb nach Domäne und Branche. Das Segment Infrastruktur konzentriert sich auf den Markt für hybride Cloud-Infrastrukturen und bietet On-Premise- und Cloud-basierte Server- und Speicherlösungen. Darüber hinaus bietet es ein Portfolio an Lebenszyklusdiensten für die Bereitstellung einer Hybrid-Cloud-Infrastruktur. Das Finanzierungssegment bietet Kunden- und kommerzielle Finanzierungen und erleichtert den Erwerb von Hardware, Software und Dienstleistungen für seine Kunden. Es unterstützt Kunden in mehr als 175 Ländern.</v>
    <v>0.6431</v>
    <v>72</v>
    <v>234963546684</v>
    <v>New York Stock Exchange</v>
    <v>XNYS</v>
    <v>XNYS</v>
    <v>One New Orchard Road, ARMONK, NY, 10504 US</v>
    <v>251.22</v>
    <v>Software &amp; IT Services</v>
    <v>Aktie</v>
    <v>20.298500000000001</v>
    <v>73</v>
    <v>46128.710735844528</v>
    <v>286800</v>
    <v>INTERNATIONAL BUSINESS MACHINES CORPORATION</v>
    <v>246.125</v>
    <v>INTERNATIONAL BUSINESS MACHINES CORPORATION</v>
    <v>248.61</v>
    <v>250.48500000000001</v>
    <v>244.8</v>
    <v>IBM</v>
    <v>INTERNATIONAL BUSINESS MACHINES CORPORATION (XNYS:IBM)</v>
    <v>1911</v>
    <v>2118246</v>
    <v>4744628</v>
    <v>USD</v>
  </rv>
  <rv s="2">
    <v>516</v>
  </rv>
  <rv s="1">
    <v>de-DE</v>
    <v>a26dyc</v>
    <v>268435456</v>
    <v>1</v>
    <v>Unterstützt von Refinitiv</v>
    <v>0</v>
    <v>1</v>
    <v>Nebius Group NV (XNAS:NBIS)</v>
    <v>3</v>
    <v>4</v>
    <v>Finance</v>
    <v>5</v>
    <v>168.71</v>
    <v>20.25</v>
    <v>-4.8099999999999996</v>
    <v>-2.8842E-2</v>
    <v>253017000</v>
    <v>Nebius Group NV ist ein in den Niederlanden ansässiges Infrastrukturunternehmen, das in der Technologiebranche tätig ist. Das Unternehmen ist an der Entwicklung eines Portfolios an Technologien im Zusammenhang mit künstlicher Intelligenz beteiligt. Sie ist an der Schaffung eines Akteurs beteiligt, der auf künstliche Intelligenz ausgerichtet ist, um die wesentlichen Elemente der Entwicklung künstlicher Intelligenz in Infrastruktur, Daten und Beratung weltweit zu integrieren. Es bietet Produkte und Dienstleistungen wie eine Cloud-Plattform für Workloads im Zusammenhang mit künstlicher Intelligenz, Services für Entwicklungsteams für autonome Fahrzeuge, Entwicklung generativer künstlicher Intelligenz. Nebius baut eine komplette Infrastruktur auf, um das Wachstum der globalen KI-Branche zu unterstützen, einschließlich GPU-Clustern, Cloud-Plattformen sowie Tools und Services für Entwickler. Das Unternehmen entwickelt drei weitere Geschäftsbereiche, die unter ihren eigenen Marken tätig sind: Toloka AI, TripleTen und Avride.</v>
    <v>-12.058</v>
    <v>40978633320</v>
    <v>Nasdaq Stock Market</v>
    <v>XNAS</v>
    <v>XNAS</v>
    <v>Schiphol Boulevard 165, SCHIPHOL, NOORD-HOLLAND, 1118BG NL</v>
    <v>168.71</v>
    <v>Professional &amp; Commercial Services</v>
    <v>Aktie</v>
    <v>972.14890000000003</v>
    <v>76</v>
    <v>46128.710713992972</v>
    <v>1371</v>
    <v>Nebius Group NV</v>
    <v>160.09010000000001</v>
    <v>Nebius Group NV</v>
    <v>167</v>
    <v>161.96</v>
    <v>166.77</v>
    <v>NBIS</v>
    <v>Nebius Group NV (XNAS:NBIS)</v>
    <v>2004</v>
    <v>9310167</v>
    <v>20049781</v>
    <v>USD</v>
  </rv>
  <rv s="2">
    <v>518</v>
  </rv>
  <rv s="1">
    <v>de-DE</v>
    <v>a1nihw</v>
    <v>268435456</v>
    <v>1</v>
    <v>Unterstützt von Refinitiv</v>
    <v>0</v>
    <v>1</v>
    <v>ARISTA NETWORKS, INC. (XNYS:ANET)</v>
    <v>3</v>
    <v>4</v>
    <v>Finance</v>
    <v>5</v>
    <v>164.94</v>
    <v>66.59</v>
    <v>4.3949999999999996</v>
    <v>2.8478E-2</v>
    <v>1256538000</v>
    <v>Arista Networks, Inc. Ist ein Anbieter datengesteuerter Client-to-Cloud-Netzwerke für große KI-Umgebungen, Rechenzentren, Campus- und Routing-Umgebungen. Seine Plattformen bieten Verfügbarkeit, Agilität, Automatisierung, Analyse und Sicherheit über einen erweiterten Netzwerkbetriebsstapel. Seine Plattform ist das Extensible Operating System (EOS), ein modernisiertes Publish-Subscribe-State-Sharing-Netzwerkbetriebssystem. Sein Portfolio an Produkten, Services und Technologien ist in verschiedene Kategorien unterteilt: Core (Rechenzentrum, Cloud und KI-Netzwerke), Cognitive Adjacences (Campus und Routing) und Cognitive Network (Software und Services). Es bietet Produktportfolios an datengesteuerten, schnellen, Cloud- und Rechenzentrums-Ethernet-Switches. Zu den kognitiven Adjakanzen gehören Cognitive Campus Switching, Cloud-Grade Routing und WAN Routing. Die Software und Services basieren auf abonnementbasierten Modellen und umfassen verschiedene Angebote: CloudVision, Arista A-Care Services, CloudEOS und andere.</v>
    <v>1.5648</v>
    <v>199443994050</v>
    <v>New York Stock Exchange</v>
    <v>XNYS</v>
    <v>XNYS</v>
    <v>5453 Great America Pkwy, SANTA CLARA, CA, 95054 US</v>
    <v>159.55000000000001</v>
    <v>Communications &amp; Networking</v>
    <v>Aktie</v>
    <v>57.659500000000001</v>
    <v>79</v>
    <v>46128.71072688594</v>
    <v>5115</v>
    <v>ARISTA NETWORKS, INC.</v>
    <v>153.375</v>
    <v>ARISTA NETWORKS, INC.</v>
    <v>155.85</v>
    <v>158.72499999999999</v>
    <v>154.33000000000001</v>
    <v>ANET</v>
    <v>ARISTA NETWORKS, INC. (XNYS:ANET)</v>
    <v>2011</v>
    <v>3270051</v>
    <v>6558918</v>
    <v>USD</v>
  </rv>
  <rv s="2">
    <v>520</v>
  </rv>
  <rv s="1">
    <v>de-DE</v>
    <v>a1qe5r</v>
    <v>268435456</v>
    <v>1</v>
    <v>Unterstützt von Refinitiv</v>
    <v>0</v>
    <v>1</v>
    <v>CISCO SYSTEMS, INC. (XNAS:CSCO)</v>
    <v>3</v>
    <v>4</v>
    <v>Finance</v>
    <v>5</v>
    <v>88.185000000000002</v>
    <v>53.83</v>
    <v>1.17</v>
    <v>1.4206000000000002E-2</v>
    <v>3949893000</v>
    <v>Cisco Systems, Inc. Entwickelt und verkauft eine Reihe von Technologien, die das Internet antreiben. Das Unternehmen integriert seine Produktportfolios für Netzwerke, Sicherheit, Zusammenarbeit, Anwendungen und die Cloud. Zu den Segmenten des Unternehmens gehören Nord- und Südamerika, Europa, Naher Osten und Afrika (EMEA) sowie Asien-Pazifik-Raum, Japan und China (APJC). Die Produktkategorie Networking repräsentiert die wichtigsten Netzwerktechnologien Switching, Routing, Wireless, 5G (5G), Silizium, optische Lösungen und Computerprodukte. Die Produktkategorie Sicherheit umfasst Cloud- und Anwendungssicherheit, industrielle Sicherheit, Netzwerksicherheit sowie Benutzer- und Gerätesicherheit. Die Produktkategorie Collaboration umfasst Meetings, Collaboration-Geräte, Anrufe, Contact Center und CPaaS-Angebote (Platform as a Service). Die Produktkategorie „Observability“ besteht aus den Angeboten zur vollständigen Beobachtung.</v>
    <v>0.84040000000000004</v>
    <v>329934562290</v>
    <v>Nasdaq Stock Market</v>
    <v>XNAS</v>
    <v>XNAS</v>
    <v>170 West Tasman Dr, SAN JOSE, CA, 95134-1706 US</v>
    <v>83.63</v>
    <v>Communications &amp; Networking</v>
    <v>Aktie</v>
    <v>30.0868</v>
    <v>82</v>
    <v>46128.710696967188</v>
    <v>86200</v>
    <v>CISCO SYSTEMS, INC.</v>
    <v>82</v>
    <v>CISCO SYSTEMS, INC.</v>
    <v>82.08</v>
    <v>83.53</v>
    <v>82.36</v>
    <v>CSCO</v>
    <v>CISCO SYSTEMS, INC. (XNAS:CSCO)</v>
    <v>2021</v>
    <v>4403924</v>
    <v>21851287</v>
    <v>USD</v>
  </rv>
  <rv s="2">
    <v>522</v>
  </rv>
  <rv s="1">
    <v>de-DE</v>
    <v>a1ppvh</v>
    <v>268435456</v>
    <v>1</v>
    <v>Unterstützt von Refinitiv</v>
    <v>0</v>
    <v>1</v>
    <v>CIENA CORPORATION (XNYS:CIEN)</v>
    <v>3</v>
    <v>4</v>
    <v>Finance</v>
    <v>5</v>
    <v>513.48990000000003</v>
    <v>56.94</v>
    <v>9.33</v>
    <v>1.9611E-2</v>
    <v>141398400</v>
    <v>Ciena Corporation ist ein Netzwerksystem-, Software- und Serviceunternehmen, das Hardware, Software und Services für eine Reihe von Netzwerkbetreibern bereitstellt und eine verbesserte Netzwerkkapazität, Servicebereitstellung und Automatisierung ermöglicht. Zu den Segmenten gehören Netzwerkplattformen, Plattformsoftware und -services, Blue Planet Automation Software und Services sowie Global Services. Das Segment Netzwerkplattformen besteht aus den Portfolios für optische Netzwerke sowie Routing und Switching. Plattformsoftware und -services bietet Tools und Anwendungen für Domänenkontrollverwaltung, Analysen, Daten und Planung, um Kunden bei der Verwaltung ihrer Netzwerke zu unterstützen. Blue Planet Automation Software und Services umfasst Bestandsverwaltung (BPI), Multi-Domain-Service-Orchestrierung, Multi-Cloud-Orchestrierung, Routenoptimierung und -analyse (ROA) sowie Unified Assurance und Analytics (UAA). Das Segment Global Services bietet eine Reihe von Mehrwertdiensten, die seinen Kunden beim Aufbau, Betrieb und der Verbesserung ihrer Netzwerke helfen.</v>
    <v>1.1424000000000001</v>
    <v>68590949856</v>
    <v>New York Stock Exchange</v>
    <v>XNYS</v>
    <v>XNYS</v>
    <v>7035 Ridge Road, HANOVER, MD, 21076 US</v>
    <v>491.74</v>
    <v>Communications &amp; Networking</v>
    <v>Aktie</v>
    <v>571.09720000000004</v>
    <v>87</v>
    <v>46128.710666133593</v>
    <v>8898</v>
    <v>CIENA CORPORATION</v>
    <v>462.00009999999997</v>
    <v>CIENA CORPORATION</v>
    <v>480.18</v>
    <v>485.09</v>
    <v>475.76</v>
    <v>CIEN</v>
    <v>CIENA CORPORATION (XNYS:CIEN)</v>
    <v>1992</v>
    <v>1399697</v>
    <v>3201503</v>
    <v>USD</v>
  </rv>
  <rv s="2">
    <v>524</v>
  </rv>
  <rv s="1">
    <v>de-DE</v>
    <v>a1utqh</v>
    <v>268435456</v>
    <v>1</v>
    <v>Unterstützt von Refinitiv</v>
    <v>0</v>
    <v>1</v>
    <v>HEWLETT PACKARD ENTERPRISE COMPANY (XNYS:HPE)</v>
    <v>3</v>
    <v>4</v>
    <v>Finance</v>
    <v>5</v>
    <v>26.44</v>
    <v>14.55</v>
    <v>0.85</v>
    <v>3.4525E-2</v>
    <v>1326854000</v>
    <v>Hewlett Packard Enterprise Company ist das globale Edge-to-Cloud-Unternehmen. Es bietet offene und intelligente Technologielösungen als Service. Das Angebot umfasst Cloud-Services, Computing, High-Performance-Computing und künstliche Intelligenz, intelligente EDGE, Software und Speicher. Zu den Segmenten gehören Server, Hybrid Cloud, Intelligent Edge, Finanzdienstleistungen und Unternehmensinvestitionen und andere. Das Serversegment umfasst universelle Server für Multi-Workload-Computing, Workload-optimierte Server und integrierte Systeme. Das Segment Hybrid Cloud bietet eine Reihe von Cloud-nativen und hybriden Lösungen für Speicher, Private Cloud und Infrastruktur-Software-as-a-Service. Das Segment Intelligent Edge bietet kabelgebundene und drahtlose lokale Netzwerke, Campus-, Zweigstellen- und Rechenzentrumsvermittlung usw. Das Segment Financial Services bietet flexible Investitionslösungen wie Leasing, Finanzierung, IT-Verbrauch, Versorgungsprogramme, und Asset-Management-Services.</v>
    <v>1.1997</v>
    <v>33794971380</v>
    <v>New York Stock Exchange</v>
    <v>XNYS</v>
    <v>XNYS</v>
    <v>1701 E MOSSY OAKS ROAD, SPRING, TX, 77389 US</v>
    <v>25.72</v>
    <v>Computers, Phones &amp; Household Electronics</v>
    <v>Aktie</v>
    <v>0</v>
    <v>90</v>
    <v>46128.710733402346</v>
    <v>67000</v>
    <v>HEWLETT PACKARD ENTERPRISE COMPANY</v>
    <v>24.68</v>
    <v>HEWLETT PACKARD ENTERPRISE COMPANY</v>
    <v>24.88</v>
    <v>25.47</v>
    <v>24.62</v>
    <v>HPE</v>
    <v>HEWLETT PACKARD ENTERPRISE COMPANY (XNYS:HPE)</v>
    <v>2015</v>
    <v>6908320</v>
    <v>18379969</v>
    <v>USD</v>
  </rv>
  <rv s="2">
    <v>526</v>
  </rv>
  <rv s="1">
    <v>de-DE</v>
    <v>a1ynp2</v>
    <v>268435456</v>
    <v>1</v>
    <v>Unterstützt von Refinitiv</v>
    <v>0</v>
    <v>1</v>
    <v>Nokia Oyj (XNYS:NOK)</v>
    <v>3</v>
    <v>19</v>
    <v>Finance</v>
    <v>5</v>
    <v>10.56</v>
    <v>4</v>
    <v>0.1988</v>
    <v>1.9900000000000001E-2</v>
    <v>5742240000</v>
    <v>Nokia Oyj ist ein in Finnland ansässiges Unternehmen, das sich im Netzwerk- und auf dem Internet Protocol basierende Infrastruktur, Software und amit verbundenen Dienstleistungen engagiert. Zu den Unternehmen der Gesellschaft gehören Nokia Networks und Nokia Technologies. Zu den Segmenten des Unternehmens zählen Ultra Broadband Networks, IP Networks and Applications, und Nokia Technologies. Das Segment Ultra Broadband Networks umfasst operative Segmente Mobile Networks und Fixed Networks. Das Segment IP Networks and Applications umfasst die operativen Segmente IP/Optical Networks und Applications &amp; Analytic. Das operative Segment Applications &amp; Analytics bietet Softwarelösungen, die Customer Experience Management, Netzwerk-aktivitäten und management, Kommunikation und Zusammenarbeit, Politik und Charging, sowie Cloud-, Internet der Dinge-, Sicherheits- und Analytics-Plattformen umfassen, die den digitalen Dienstleistern und Unternehmen ermöglichen, die Kundenwrfahrungen zu beschleunigen und zu optimieren. Comptel Oyj ist die Tochtergellschaft des Unternehmens.</v>
    <v>1.4171</v>
    <v>59432184000</v>
    <v>New York Stock Exchange</v>
    <v>XNYS</v>
    <v>XNYS</v>
    <v>Karakaari 7, 02610 FI</v>
    <v>10.23</v>
    <v>Communications &amp; Networking</v>
    <v>Aktie</v>
    <v>77.246399999999994</v>
    <v>93</v>
    <v>46128.710694282032</v>
    <v>77586</v>
    <v>Nokia Oyj</v>
    <v>9.94</v>
    <v>Nokia Oyj</v>
    <v>10.07</v>
    <v>10.188800000000001</v>
    <v>9.99</v>
    <v>NOK</v>
    <v>Nokia Oyj (XNYS:NOK)</v>
    <v>1997</v>
    <v>31243711</v>
    <v>71151298</v>
    <v>USD</v>
  </rv>
  <rv s="2">
    <v>528</v>
  </rv>
  <rv s="1">
    <v>de-DE</v>
    <v>a1s61h</v>
    <v>268435456</v>
    <v>1</v>
    <v>Unterstützt von Refinitiv</v>
    <v>0</v>
    <v>1</v>
    <v>Telefonaktiebolaget LM Ericsson (XNAS:ERIC)</v>
    <v>3</v>
    <v>4</v>
    <v>Finance</v>
    <v>5</v>
    <v>12.115</v>
    <v>7.1550000000000002</v>
    <v>0.13009999999999999</v>
    <v>1.0960000000000001E-2</v>
    <v>3371352000</v>
    <v>Telefonaktiebolaget LM Ericsson ist ein in Schweden ansässiges Telekommunikationsunternehmen. Das Unternehmen bietet Hardware, Software und Dienstleistungen an, welche die Entwicklung im Bereich Mobilität, Breitband und Cloud antreibt, indem es Ökosysteme in verschiedenen Industriezweigen schafft. Ericssons Kerngeschäfte sind Radio, Kern und Übertragung und Telekommunikationsdienstleistungen. Ericsson operiert durch drei Geschäftsbereiche: Netzwerke, Globale Dienstleistungen und Supportlösungen. Seine Zielbereiche umfassen Business Supportsysteme (OSS) und Business Supportsysteme (BSS); Fernsehen und Medien, Internet Protocol (IP) und Cloud. Das Netzwerke-Segment liefert Produkte und Lösungen für mobile und stationäre Kommunikation, verschiedene Generationen von Funknetzen, IP und Übertragungsnetze, Kernnetze und Cloud. Das Segment Globale Dienstleistungen liefert Managed Services, produktbegleitende Dienstleistungen, Beratung und Systemintegrationsdienste sowie Rundfunk- und Medien-Dienstleistungen. Der Geschäftsbereich Supportlösungen bietet Software-Suites für Betreiber an.</v>
    <v>0.92620000000000002</v>
    <v>40456561135</v>
    <v>Nasdaq Stock Market</v>
    <v>XNAS</v>
    <v>XNAS</v>
    <v>Torshamnsgatan 21, STOCKHOLM, STOCKHOLM, 164 83 SE</v>
    <v>12.08</v>
    <v>Communications &amp; Networking</v>
    <v>Aktie</v>
    <v>12.966100000000001</v>
    <v>96</v>
    <v>46128.71074444375</v>
    <v>88027</v>
    <v>Telefonaktiebolaget LM Ericsson</v>
    <v>11.824999999999999</v>
    <v>Telefonaktiebolaget LM Ericsson</v>
    <v>11.92</v>
    <v>12.0001</v>
    <v>11.87</v>
    <v>ERIC</v>
    <v>Telefonaktiebolaget LM Ericsson (XNAS:ERIC)</v>
    <v>1918</v>
    <v>7122365</v>
    <v>10027882</v>
    <v>USD</v>
  </rv>
  <rv s="2">
    <v>530</v>
  </rv>
  <rv s="1">
    <v>de-DE</v>
    <v>a1zgm7</v>
    <v>268435456</v>
    <v>1</v>
    <v>Unterstützt von Refinitiv</v>
    <v>0</v>
    <v>1</v>
    <v>PALO ALTO NETWORKS, INC. (XNAS:PANW)</v>
    <v>3</v>
    <v>4</v>
    <v>Finance</v>
    <v>5</v>
    <v>223.61</v>
    <v>139.57060000000001</v>
    <v>2.96</v>
    <v>1.8037000000000001E-2</v>
    <v>811000000</v>
    <v>Palo Alto Networks, Inc. Bietet umfassende Sicherheitslösungen auf Basis künstlicher Intelligenz (KI) für Netzwerk, Cloud, Sicherheitsvorgänge und KI. Das Unternehmen konzentriert sich auf vier Bereiche: Netzwerksicherheit, Cloud-Sicherheit, Security Operations und Threat Intelligence and Advisory Services (Einheit 42). Die Netzwerksicherheitsplattform umfasst ML-basierte Firewalls, AI Runtime Security und ein SASE-Framework (Secure Access Service Edge), das Prisma Access, Prisma SD-WAN und Prisma Access Browser umfasst, um Remote-Mitarbeiter und Zweigstellen zu schützen. Die Cloud-Sicherheit wird über Prisma Cloud bereitgestellt, eine Code-to-Cloud-Plattform, die Anwendungen, Daten, GenAI-Umgebungen und den Cloud-nativen Stack während des gesamten Entwicklungslebenszyklus schützt. Der Geschäftsbereich Unit 42 bietet Intelligence-geführte Beratung, Vorfallsreaktion, verwaltete Erkennung und Reaktion sowie Services zur Bedrohungssuche. Prisma ALES ist eine KI-Sicherheitsplattform, die Anwendungen, Agenten, Modelle und Daten schützt.</v>
    <v>0.7228</v>
    <v>135493770000</v>
    <v>Nasdaq Stock Market</v>
    <v>XNAS</v>
    <v>XNAS</v>
    <v>3000 Tannery Way, SANTA CLARA, CA, 95054 US</v>
    <v>170.25</v>
    <v>Software &amp; IT Services</v>
    <v>Aktie</v>
    <v>92.508300000000006</v>
    <v>99</v>
    <v>46128.710789664059</v>
    <v>17027</v>
    <v>PALO ALTO NETWORKS, INC.</v>
    <v>165</v>
    <v>PALO ALTO NETWORKS, INC.</v>
    <v>168.47</v>
    <v>167.07</v>
    <v>164.11</v>
    <v>PANW</v>
    <v>PALO ALTO NETWORKS, INC. (XNAS:PANW)</v>
    <v>2005</v>
    <v>2954839</v>
    <v>8219455</v>
    <v>USD</v>
  </rv>
  <rv s="2">
    <v>532</v>
  </rv>
  <rv s="1">
    <v>de-DE</v>
    <v>bq8rqh</v>
    <v>268435456</v>
    <v>1</v>
    <v>Unterstützt von Refinitiv</v>
    <v>0</v>
    <v>1</v>
    <v>CROWDSTRIKE HOLDINGS, INC. (XNAS:CRWD)</v>
    <v>3</v>
    <v>4</v>
    <v>Finance</v>
    <v>5</v>
    <v>566.9</v>
    <v>342.72</v>
    <v>8.1300000000000008</v>
    <v>1.9772999999999999E-2</v>
    <v>253201000</v>
    <v>CrowdStrike Holdings, Inc. Ist ein weltweit tätiges Unternehmen für Cybersicherheit, das Cloud-basierten Schutz von Endpoints, Cloud-Workloads, Identitäten und Daten bietet. Die Falcon-Plattform wurde speziell für die Konsolidierung der Cybersicherheit entwickelt und wurde speziell entwickelt, um Sicherheitsverletzungen zu verhindern. Die Plattformen erfassen und integrieren Daten aus dem gesamten Unternehmen, einschließlich Endpoints, Cloud-Workloads, Identitäten und Quellen von Drittanbietern. Es bietet 29 Cloud-Module auf seiner Falcon-Plattform über ein SaaS-Abonnement (Software as a Service) an, das mehrere große Märkte abdeckt, darunter Unternehmensendpoint- und Cloud-Workload-Sicherheit, Managed Security Services, Security and Vulnerability Management, IT-Betriebsmanagement (IT), Identitätsschutz, Security Information and Event Management (SIEM) und Protokollmanagement der nächsten Generation, Threat Intelligence Services, Datenschutz, SaaS Security Posture Management, Automatisierung und Reaktion (SOAR) und Workflowautomatisierung auf künstlicher Intelligenz.</v>
    <v>1.0226999999999999</v>
    <v>106164647290</v>
    <v>Nasdaq Stock Market</v>
    <v>XNAS</v>
    <v>XNAS</v>
    <v>206 E. 9TH STREET, SUITE 1400, AUSTIN, TX, 78701 US</v>
    <v>425.77</v>
    <v>Software &amp; IT Services</v>
    <v>Aktie</v>
    <v>0</v>
    <v>102</v>
    <v>46128.710774409374</v>
    <v>10698</v>
    <v>CROWDSTRIKE HOLDINGS, INC.</v>
    <v>411.09</v>
    <v>CROWDSTRIKE HOLDINGS, INC.</v>
    <v>421.83</v>
    <v>419.29</v>
    <v>411.16</v>
    <v>CRWD</v>
    <v>CROWDSTRIKE HOLDINGS, INC. (XNAS:CRWD)</v>
    <v>2011</v>
    <v>1536248</v>
    <v>3778549</v>
    <v>USD</v>
  </rv>
  <rv s="2">
    <v>534</v>
  </rv>
  <rv s="1">
    <v>de-DE</v>
    <v>a1tg3m</v>
    <v>268435456</v>
    <v>1</v>
    <v>Unterstützt von Refinitiv</v>
    <v>0</v>
    <v>1</v>
    <v>FORTINET, INC. (XNAS:FTNT)</v>
    <v>3</v>
    <v>4</v>
    <v>Finance</v>
    <v>5</v>
    <v>109.33</v>
    <v>70.12</v>
    <v>2.6</v>
    <v>3.2647000000000002E-2</v>
    <v>739923600</v>
    <v>Fortinet, Inc. Engagiert sich im Bereich Cybersicherheit und fördert die Konvergenz von Netzwerk und Sicherheit. Die integrierte Plattform des Unternehmens, Fortinet Security Fabric, umfasst sichere Netzwerke, Unified Secure Access Service Edge (SASE) und künstliche Intelligenz (KI)-gesteuerte Sicherheitsvorgänge (SecOps). Zu den Produkten und Services gehören FortiOS, FortiASIC, FortiCloud, FortiAI, FortiEndpoint, und OT Security. FortiGuard Labs ist eine Organisation für Bedrohungsinformationen und -Forschung im Bereich Cybersicherheit, die sich aus erfahrenen Bedrohungsjägern, Forschern, Analysten, Ingenieuren und Datenwissenschaftlern zusammensetzt, die maschinelles Lernen und KI-Technologien entwickeln und nutzen. FortiGuard und andere Security Services sind eine Suite von KI-basierten Sicherheitsfunktionen, die als Teil der Fortinet Security Fabric integriert sind, um eine koordinierte Erkennung und Durchsetzung über die gesamte Angriffsfläche hinweg zu ermöglichen. Der FortiCare Technical Support Service ist ein technischer Support für jedes Gerät. Es betreibt auch das Fortinet Training Institute.</v>
    <v>0.91910000000000003</v>
    <v>60851316864</v>
    <v>Nasdaq Stock Market</v>
    <v>XNAS</v>
    <v>XNAS</v>
    <v>909 Kifer Road, SUNNYVALE, CA, 94086 US</v>
    <v>82.5</v>
    <v>Software &amp; IT Services</v>
    <v>Aktie</v>
    <v>33.889600000000002</v>
    <v>105</v>
    <v>46128.710739374998</v>
    <v>15109</v>
    <v>FORTINET, INC.</v>
    <v>79.89</v>
    <v>FORTINET, INC.</v>
    <v>79.89</v>
    <v>82.24</v>
    <v>79.64</v>
    <v>FTNT</v>
    <v>FORTINET, INC. (XNAS:FTNT)</v>
    <v>2000</v>
    <v>2271613</v>
    <v>6205635</v>
    <v>USD</v>
  </rv>
  <rv s="2">
    <v>536</v>
  </rv>
  <rv s="1">
    <v>de-DE</v>
    <v>azbtyc</v>
    <v>268435456</v>
    <v>1</v>
    <v>Unterstützt von Refinitiv</v>
    <v>0</v>
    <v>1</v>
    <v>ZSCALER, INC. (XNAS:ZS)</v>
    <v>3</v>
    <v>4</v>
    <v>Finance</v>
    <v>5</v>
    <v>336.99</v>
    <v>114.625</v>
    <v>3.79</v>
    <v>2.8929E-2</v>
    <v>160790700</v>
    <v>Zscaler, Inc. Ist ein Unternehmen für Cloud-Sicherheit. Das Unternehmen hat eine Plattform entwickelt, die wichtige Sicherheitsfunktionen enthält, die erforderlich sind, um einen schnellen und sicheren Zugriff auf Cloud-Ressourcen basierend auf Identität, Kontext und Unternehmensrichtlinien zu ermöglichen. Die Zscaler Zero Trust Exchange-Plattform schützt Tausende von Kunden vor Cyberangriffen und Datenverlust, indem sie Benutzer, Geräte und Anwendungen an jedem beliebigen Ort sicher miteinander verbindet. Die Lösung ist eine speziell entwickelte, mandantenfähige, verteilte Cloud-Plattform, die die Sicherheitsfunktionen umfasst, die erforderlich sind, um Benutzern, Anwendungen und Geräten die sichere und effiziente Nutzung autorisierter Anwendungen und Services basierend auf den Geschäftsrichtlinien eines Unternehmens zu ermöglichen. Das Unternehmen stellt seine Lösungen mithilfe eines SaaS-Geschäftsmodells (Software as a Service) bereit und verkauft Abonnements für den Zugriff auf seine Cloud-Plattform sowie zugehörige Supportservices an Kunden. Sie bietet eine Sicherheitsplattform, die ihre Plattform mit automatisierten Sicherheitsvorgängen kombiniert.</v>
    <v>1.0182</v>
    <v>21674586360</v>
    <v>Nasdaq Stock Market</v>
    <v>XNAS</v>
    <v>XNAS</v>
    <v>120 Holger Way, SAN JOSE, CA, 95134 US</v>
    <v>138</v>
    <v>Software &amp; IT Services</v>
    <v>Aktie</v>
    <v>0</v>
    <v>108</v>
    <v>46128.710735960158</v>
    <v>7923</v>
    <v>ZSCALER, INC.</v>
    <v>132.79</v>
    <v>ZSCALER, INC.</v>
    <v>134.96</v>
    <v>134.80000000000001</v>
    <v>131.01</v>
    <v>ZS</v>
    <v>ZSCALER, INC. (XNAS:ZS)</v>
    <v>2007</v>
    <v>1760168</v>
    <v>2897743</v>
    <v>USD</v>
  </rv>
  <rv s="2">
    <v>538</v>
  </rv>
  <rv s="1">
    <v>de-DE</v>
    <v>a1z6qh</v>
    <v>268435456</v>
    <v>1</v>
    <v>Unterstützt von Refinitiv</v>
    <v>0</v>
    <v>1</v>
    <v>OKTA, INC. (XNAS:OKTA)</v>
    <v>3</v>
    <v>4</v>
    <v>Finance</v>
    <v>5</v>
    <v>127.56699999999999</v>
    <v>62.66</v>
    <v>4.38</v>
    <v>6.5033000000000007E-2</v>
    <v>176887900</v>
    <v>Okta, Inc. Ist ein unabhängiger Identitätspartner. Die Okta-Plattform und die Auth ()-Plattform des Unternehmens ermöglichen es seinen Kunden, die richtigen Personen zum richtigen Zeitpunkt sicher mit den richtigen Technologien und Services zu verbinden. Es bietet unabhängige und neutrale Cloud-basierte Identitätslösungen, die es Kunden ermöglichen, sich in nahezu jede Anwendung, jeden Service oder jede Cloud zu integrieren, die sie über ihre Plattformen wählen. Unternehmen nutzen die Identitätsplattform des Unternehmens, um mit ihren Partnern zusammenzuarbeiten und ihren Kunden sichere Erlebnisse in der Cloud und über mobile Geräte zu bieten. Entwickler nutzen Workforce Identity Cloud und Customer Identity Cloud, powered by Auth (), um die Identität sicher und effizient in die von ihnen entwickelte Software einzubetten und so Innovationen zu entwickeln und sich auf ihre Kernaufgaben zu konzentrieren. Die Okta-Plattform ermöglicht es ihren Kunden, den Zugriff auf ihr gesamtes Ökosystem aus Mitarbeitern, Auftragnehmern und Partnern zu automatisieren und zu sichern, wodurch die Zusammenarbeit zwischen ihren Mitarbeitern verbessert wird.</v>
    <v>0.58260000000000001</v>
    <v>12688169067</v>
    <v>Nasdaq Stock Market</v>
    <v>XNAS</v>
    <v>XNAS</v>
    <v>100 First Street, SAN FRANCISCO, CA, 94105 US</v>
    <v>72.899900000000002</v>
    <v>Software &amp; IT Services</v>
    <v>Aktie</v>
    <v>67.466099999999997</v>
    <v>111</v>
    <v>46128.710727001562</v>
    <v>6366</v>
    <v>OKTA, INC.</v>
    <v>70.239999999999995</v>
    <v>OKTA, INC.</v>
    <v>71.099999999999994</v>
    <v>71.73</v>
    <v>67.349999999999994</v>
    <v>OKTA</v>
    <v>OKTA, INC. (XNAS:OKTA)</v>
    <v>2010</v>
    <v>2873140</v>
    <v>3835490</v>
    <v>USD</v>
  </rv>
  <rv s="2">
    <v>540</v>
  </rv>
  <rv s="7">
    <v>de-DE</v>
    <v>brh6oc</v>
    <v>268435456</v>
    <v>1</v>
    <v>Unterstützt von Refinitiv</v>
    <v>20</v>
    <v>21</v>
    <v>CLOUDFLARE, INC. (XNYS:NET)</v>
    <v>3</v>
    <v>22</v>
    <v>Finance</v>
    <v>5</v>
    <v>260</v>
    <v>100.25</v>
    <v>8.1349999999999998</v>
    <v>4.2786999999999999E-2</v>
    <v>351980300</v>
    <v>Cloudflare, Inc. Ist ein Konnektivitäts-Cloud-Unternehmen. Die vollständige Produktpalette besteht aus Website- und Anwendungsservices, um Sicherheit, Leistung und Zuverlässigkeit für Websites, Anwendungen und APIs (Application Programming Interfaces) eines Unternehmens zu bieten; die SASE-Plattform (Secure Access Service Edge), die eine Suite von Zero Trust- und Network Services-Lösungen enthält, um sicherzustellen, dass der Datenverkehr in und aus dem internen Netzwerk und den Geräten eines Unternehmens überprüft und autorisiert wird, sowie die sichere Verbindung von Rechenzentren, Cloud-Diensten und Zweigstellen mit der Connectivity Cloud, den entwicklerbasierten Lösungen zur Erstellung und Bereitstellung serverloser Anwendungen mit Skalierbarkeit, Leistung, Sicherheit und Zuverlässigkeit sowie den Angeboten für Verbraucher. Die Produktangebote für Website- und Anwendungssicherheit umfassen Web Application Firewall, Bot Management, Distributed Denial of Service Protection, API-Sicherheit, SSL/TLS-Verschlüsselung, Skriptverwaltung und Security Center.</v>
    <v>1.7069000000000001</v>
    <v>69785374179</v>
    <v>New York Stock Exchange</v>
    <v>XNYS</v>
    <v>XNYS</v>
    <v>101 Townsend St, SAN FRANCISCO, CA, 94107-1934 US</v>
    <v>203.72499999999999</v>
    <v>Software &amp; IT Services</v>
    <v>Aktie</v>
    <v>114</v>
    <v>46128.710738992966</v>
    <v>5156</v>
    <v>CLOUDFLARE, INC.</v>
    <v>191.50229999999999</v>
    <v>CLOUDFLARE, INC.</v>
    <v>194.5</v>
    <v>198.26499999999999</v>
    <v>190.13</v>
    <v>NET</v>
    <v>CLOUDFLARE, INC. (XNYS:NET)</v>
    <v>2009</v>
    <v>3296326</v>
    <v>4484810</v>
    <v>USD</v>
  </rv>
  <rv s="2">
    <v>542</v>
  </rv>
  <rv s="1">
    <v>de-DE</v>
    <v>a1ye2w</v>
    <v>268435456</v>
    <v>1</v>
    <v>Unterstützt von Refinitiv</v>
    <v>0</v>
    <v>1</v>
    <v>NEXTERA ENERGY, INC. (XNYS:NEE)</v>
    <v>3</v>
    <v>4</v>
    <v>Finance</v>
    <v>5</v>
    <v>96.204999999999998</v>
    <v>63.64</v>
    <v>-0.45</v>
    <v>-4.9320000000000006E-3</v>
    <v>2085303000</v>
    <v>NextEra Energy, Inc. ist ein Strom- und Energieinfrastrukturunternehmen. Das Unternehmen ist über seine hundertprozentigen Tochtergesellschaften NextEra Energy Resources, LLC und NextEra Energy Transmission, LLC (zusammen NEER) sowie die Florida Power &amp; Light Company (FPL) tätig. Zu seinen Segmenten gehören NEER und FPL. FPL ist ein preisreguliertes Elektrizitätsversorgungsunternehmen, das in Florida Strom erzeugt, überträgt, verteilt und verkauft. FPL verfügt über eine Nettoerzeugungskapazität von ca. 35.052 Megawatt, über 91.000 Meilen an Übertragungs- und Verteilungsleitungen sowie 921 Umspannwerke. NEER besitzt, entwickelt, baut, verwaltet und betreibt Stromerzeugungsanlagen auf den Energiegroßhandelsmärkten in den USA und Kanada und verfügt über Vermögenswerte und Investitionen in andere Unternehmen mit Fokus auf saubere Energie, wie Batteriespeicher, Erdgaspipelines und erneuerbare Kraftstoffe. FPL besitzt, entwickelt, baut und betreibt preisregulierte Übertragungsanlagen in Nordamerika.</v>
    <v>0.6966</v>
    <v>189324659370</v>
    <v>New York Stock Exchange</v>
    <v>XNYS</v>
    <v>XNYS</v>
    <v>700 Universe Blvd, JUNO BEACH, FL, 33408 US</v>
    <v>91.29</v>
    <v>Electrical Utilities &amp; IPPs</v>
    <v>Aktie</v>
    <v>27.503799999999998</v>
    <v>117</v>
    <v>46128.710742510935</v>
    <v>17400</v>
    <v>NEXTERA ENERGY, INC.</v>
    <v>90.58</v>
    <v>NEXTERA ENERGY, INC.</v>
    <v>91.07</v>
    <v>90.79</v>
    <v>91.24</v>
    <v>NEE</v>
    <v>NEXTERA ENERGY, INC. (XNYS:NEE)</v>
    <v>1984</v>
    <v>2904676</v>
    <v>8720402</v>
    <v>USD</v>
  </rv>
  <rv s="2">
    <v>544</v>
  </rv>
  <rv s="1">
    <v>de-DE</v>
    <v>a1rdzr</v>
    <v>268435456</v>
    <v>1</v>
    <v>Unterstützt von Refinitiv</v>
    <v>0</v>
    <v>1</v>
    <v>DUKE ENERGY CORPORATION (XNYS:DUK)</v>
    <v>3</v>
    <v>4</v>
    <v>Finance</v>
    <v>5</v>
    <v>134.49</v>
    <v>111.22</v>
    <v>-0.55000000000000004</v>
    <v>-4.2979999999999997E-3</v>
    <v>778117600</v>
    <v>Die Duke Energy Corporation ist eine Energieholdinggesellschaft. Das Unternehmen ist in zwei Segmenten tätig: Energieversorgungsunternehmen und Infrastruktur (EU&amp;I) und Gasversorgungsunternehmen und Infrastruktur (GU&amp;I). Das Segment EU&amp;I betreibt seine Aktivitäten hauptsächlich über die regulierten öffentlichen Versorgungsunternehmen Duke Energy Carolinas, Duke Energy Progress, Duke Energy Florida, Duke Energy Indiana und Duke Energy Ohio. EU&amp;I erbringt Strom im Einzelhandel durch Erzeugung, Übertragung, Verteilung und Verkauf von Strom an Kunden im Südosten und Mittleren Westen der Vereinigten Staaten. Das Segment GU&amp;I betreibt Erdgasaktivitäten hauptsächlich über die regulierten öffentlichen Versorgungsunternehmen Piedmont, Duke Energy Ohio und Duke Energy Kentucky. GU&amp;I bedient Erdgaskunden in Privathaushalten, Gewerbe, Industrie und Stromerzeugung, einschließlich Kunden von Kommunen, die Großhandelskunden sind. Außerdem kauft sie ein vielfältiges Portfolio an Transport- und Speicherdienstleistungen von interstate Pipelines.</v>
    <v>0.41470000000000001</v>
    <v>99155525768</v>
    <v>New York Stock Exchange</v>
    <v>XNYS</v>
    <v>XNYS</v>
    <v>525 South Tryon Street, CHARLOTTE, NC, 28202-1803 US</v>
    <v>129.00710000000001</v>
    <v>Electrical Utilities &amp; IPPs</v>
    <v>Aktie</v>
    <v>20.1585</v>
    <v>120</v>
    <v>46128.710695196096</v>
    <v>26441</v>
    <v>DUKE ENERGY CORPORATION</v>
    <v>127.12</v>
    <v>DUKE ENERGY CORPORATION</v>
    <v>127.9</v>
    <v>127.43</v>
    <v>127.98</v>
    <v>DUK</v>
    <v>DUKE ENERGY CORPORATION (XNYS:DUK)</v>
    <v>2005</v>
    <v>1218780</v>
    <v>4088077</v>
    <v>USD</v>
  </rv>
  <rv s="2">
    <v>546</v>
  </rv>
  <rv s="1">
    <v>de-DE</v>
    <v>a23a5r</v>
    <v>268435456</v>
    <v>1</v>
    <v>Unterstützt von Refinitiv</v>
    <v>0</v>
    <v>1</v>
    <v>THE SOUTHERN COMPANY (XNYS:SO)</v>
    <v>3</v>
    <v>4</v>
    <v>Finance</v>
    <v>5</v>
    <v>100.83499999999999</v>
    <v>83.09</v>
    <v>-0.54</v>
    <v>-5.7060000000000001E-3</v>
    <v>1127304000</v>
    <v>Die Southern Company ist ein Energieversorger. Das Unternehmen besitzt drei traditionelle Elektrizitätsunternehmen, Southern Power Company und Southern Company Gas. Die traditionellen Stromversorgungsunternehmen Alabama Power, Georgia Power und Mississippi Power betreiben öffentliche Versorgungsunternehmen, die Einzelhandelskunden in drei südöstlichen bundesstaaten sowie Großhandelskunden im Südosten mit Strom versorgen. Die Southern Power Company entwickelt, baut, erwirbt, besitzt und verwaltet Stromerzeugungsanlagen, einschließlich Projekte für erneuerbare Energien, und verkauft Strom zu marktüblichen Preisen auf dem Großhandelsmarkt. Die Southern Company Gas ist eine Energiedienstleistungsgesellschaft, deren Hauptgeschäft die Verteilung von Erdgas in vier bundesstaaten ist - Illinois, Georgia, Virginia und Tennessee. Southern Company Gas ist auch an mehreren anderen Geschäftsbereichen beteiligt, die die Verteilung von Erdgas ergänzen.</v>
    <v>0.3609</v>
    <v>106079306400</v>
    <v>New York Stock Exchange</v>
    <v>XNYS</v>
    <v>XNYS</v>
    <v>30 Ivan Allen Jr. Blvd., N.W., ATLANTA, GA, 30308 US</v>
    <v>95.27</v>
    <v>Electrical Utilities &amp; IPPs</v>
    <v>Aktie</v>
    <v>24.023499999999999</v>
    <v>123</v>
    <v>46128.710753772655</v>
    <v>29800</v>
    <v>THE SOUTHERN COMPANY</v>
    <v>93.9</v>
    <v>THE SOUTHERN COMPANY</v>
    <v>94.35</v>
    <v>94.1</v>
    <v>94.64</v>
    <v>SO</v>
    <v>THE SOUTHERN COMPANY (XNYS:SO)</v>
    <v>1945</v>
    <v>1240235</v>
    <v>5108128</v>
    <v>USD</v>
  </rv>
  <rv s="2">
    <v>548</v>
  </rv>
  <rv s="1">
    <v>de-DE</v>
    <v>a1shjc</v>
    <v>268435456</v>
    <v>1</v>
    <v>Unterstützt von Refinitiv</v>
    <v>0</v>
    <v>1</v>
    <v>EXELON CORPORATION (XNAS:EXC)</v>
    <v>3</v>
    <v>4</v>
    <v>Finance</v>
    <v>5</v>
    <v>50.65</v>
    <v>41.704999999999998</v>
    <v>-0.71</v>
    <v>-1.4829000000000002E-2</v>
    <v>1023175000</v>
    <v>Exelon Corporation ist eine Holdinggesellschaft für Versorgungsdienstleistungen, die über ihre Tochtergesellschaften Commonwealth Edison Company (ComEd), PECO Energy Company (PECO), Baltimore Gas and Electric Company (BGE), Potomac Electric Power Company (Pepco), Delmarva Power &amp; Light Company (DPL) und Atlantic City Electric Company (ACE) im Bereich der Energieübertragung und -verteilung tätig ist. Zu seinen Segmenten gehören ComEd, PECO, BGE, Pepco, DPL und ACE. Das Segment ComEd befasst sich mit dem Einkauf und der Regulierung des Einzelhandelsverkaufs von Strom. Das Segment PECO befasst sich mit dem Einkauf und der Regulierung des Einzelhandelsverkaufs von Strom und Erdgas. Über seine Tochtergesellschaft Exelon Business Services Company, LLC (BSC), bietet das Unternehmen seinen Tochtergesellschaften eine Reihe von Unterstützungsleistungen zum Selbstkostenpreis an, darunter Dienstleistungen in den Bereichen Recht, Personalwesen, Finanzen, Informationstechnologie und Liefermanagement. Das Segment BGE konzentriert sich auf die Übertragung und Verteilung von Strom und die Verteilung von Erdgas an Privatkunden.</v>
    <v>0.36670000000000003</v>
    <v>48263164750</v>
    <v>Nasdaq Stock Market</v>
    <v>XNAS</v>
    <v>XNAS</v>
    <v>10 S. Dearborn Street, Po Box 805379, CHICAGO, IL, 60680-5379 US</v>
    <v>48.07</v>
    <v>Electrical Utilities &amp; IPPs</v>
    <v>Aktie</v>
    <v>17.244900000000001</v>
    <v>126</v>
    <v>46128.710753807813</v>
    <v>20571</v>
    <v>EXELON CORPORATION</v>
    <v>46.9</v>
    <v>EXELON CORPORATION</v>
    <v>47.66</v>
    <v>47.17</v>
    <v>47.88</v>
    <v>EXC</v>
    <v>EXELON CORPORATION (XNAS:EXC)</v>
    <v>1999</v>
    <v>3529137</v>
    <v>7746563</v>
    <v>USD</v>
  </rv>
  <rv s="2">
    <v>550</v>
  </rv>
  <rv s="1">
    <v>de-DE</v>
    <v>a1mybh</v>
    <v>268435456</v>
    <v>1</v>
    <v>Unterstützt von Refinitiv</v>
    <v>0</v>
    <v>1</v>
    <v>AMERICAN ELECTRIC POWER COMPANY, INC. (XNAS:AEP)</v>
    <v>3</v>
    <v>4</v>
    <v>Finance</v>
    <v>5</v>
    <v>137.74</v>
    <v>97.46</v>
    <v>-1.01</v>
    <v>-7.5149999999999991E-3</v>
    <v>543563500</v>
    <v>American Electric Power Company, Inc. ist eine Holdinggesellschaft für öffentliche Elektrizitätswerke. Ihre Stromversorgungsunternehmen erbringen Erzeugungs-, Übertragungs- und Verteilungsdienstleistungen für mehr als fünf Millionen Einzelhandelskunden in Arkansas, Indiana, Kentucky, Louisiana, Michigan, Ohio, Oklahoma, Tennessee, Texas, Virginia und West Virginia. Zu seinen Segmenten gehören Vertically Integrated Utilities, Transmission and Distribution Utilities, AEP Transmission Holdco und Generation &amp; Marketing. Das Segment Vertically Integrated Utilities befasst sich mit der Erzeugung, Übertragung und Verteilung von Strom für den Verkauf an Einzel- und Großhandelskunden. Der Bereich Transmission and Distribution Utilities umfasst die Übertragung und Verteilung von Strom für den Verkauf an Einzel- und Großhandelskunden. Die AEP Transmission Holdco befasst sich mit der Entwicklung, dem Bau und dem Betrieb von Übertragungseinrichtungen. Das Segment Erzeugung &amp; Marketing umfasst die Bereiche Marketing, Risikomanagement und Einzelhandel.</v>
    <v>0.55310000000000004</v>
    <v>72500499630</v>
    <v>Nasdaq Stock Market</v>
    <v>XNAS</v>
    <v>XNAS</v>
    <v>1 Riverside Plz, COLUMBUS, OH, 43215-2355 US</v>
    <v>135.16</v>
    <v>Electrical Utilities &amp; IPPs</v>
    <v>Aktie</v>
    <v>20.012899999999998</v>
    <v>129</v>
    <v>46128.710669409375</v>
    <v>17581</v>
    <v>AMERICAN ELECTRIC POWER COMPANY, INC.</v>
    <v>133.01499999999999</v>
    <v>AMERICAN ELECTRIC POWER COMPANY, INC.</v>
    <v>133.77000000000001</v>
    <v>133.38</v>
    <v>134.38999999999999</v>
    <v>AEP</v>
    <v>AMERICAN ELECTRIC POWER COMPANY, INC. (XNAS:AEP)</v>
    <v>1925</v>
    <v>732206</v>
    <v>3243786</v>
    <v>USD</v>
  </rv>
  <rv s="2">
    <v>552</v>
  </rv>
  <rv s="1">
    <v>de-DE</v>
    <v>ay4lu2</v>
    <v>268435456</v>
    <v>1</v>
    <v>Unterstützt von Refinitiv</v>
    <v>0</v>
    <v>1</v>
    <v>Xcel Energy Inc. (XNAS:XEL)</v>
    <v>3</v>
    <v>4</v>
    <v>Finance</v>
    <v>5</v>
    <v>84.23</v>
    <v>65.209999999999994</v>
    <v>1.7849999999999999</v>
    <v>2.2695E-2</v>
    <v>624162200</v>
    <v>Xcel Energy Inc. Ist ein Elektrik- und Erdgaslieferant. Das Unternehmen bietet über vier Versorgungsunternehmen NSP-Minnesota, NSP-Wisconsin, PSCo und SPS ein umfassendes Portfolio an energieverbrauchsrelevanten Produkten und Dienstleistungen für rund 3,9 Millionen Stromkunden und 2,2 Millionen Erdgaskunden. Das Unternehmen ist in zwei Segmenten tätig. Das regulierte Stromversorgungssegment erzeugt, kauft, überträgt, verteilt und verkauft Strom in Colorado, Michigan, Minnesota, New Mexico, North Dakota, South Dakota, Texas und Wisconsin. Darüber hinaus umfasst dieses Segment Verkäufe für den Wiederverkauf und erbringt Übertragungsdienste auf Großkundenebene für verschiedene Unternehmen in den Vereinigten Staaten. Das Segment der regulierten Stromversorgungsunternehmen umfasst auch den Großhandel mit Rohstoffen und Handelsgeschäften. Das regulierte Erdgasversorgungssegment kauft, transportiert, lagert, verteilt und verkauft Erdgas hauptsächlich in Teilen von Colorado, Michigan, Minnesota, North Dakota und Wisconsin.</v>
    <v>0.39739999999999998</v>
    <v>50204486557</v>
    <v>Nasdaq Stock Market</v>
    <v>XNAS</v>
    <v>XNAS</v>
    <v>414 Nicollet Mall, MINNEAPOLIS, MN, 55401 US</v>
    <v>80.834999999999994</v>
    <v>Electrical Utilities &amp; IPPs</v>
    <v>Aktie</v>
    <v>23.490200000000002</v>
    <v>132</v>
    <v>46128.71078114531</v>
    <v>11534</v>
    <v>Xcel Energy Inc.</v>
    <v>78.97</v>
    <v>Xcel Energy Inc.</v>
    <v>79.099999999999994</v>
    <v>80.435000000000002</v>
    <v>78.650000000000006</v>
    <v>XEL</v>
    <v>Xcel Energy Inc. (XNAS:XEL)</v>
    <v>1909</v>
    <v>2887857</v>
    <v>4410009</v>
    <v>USD</v>
  </rv>
  <rv s="2">
    <v>554</v>
  </rv>
  <rv s="1">
    <v>de-DE</v>
    <v>af9doc</v>
    <v>268435456</v>
    <v>1</v>
    <v>Unterstützt von Refinitiv</v>
    <v>0</v>
    <v>1</v>
    <v>E.ON SE (XFRA:EOAN)</v>
    <v>3</v>
    <v>6</v>
    <v>Finance</v>
    <v>7</v>
    <v>20.43</v>
    <v>7.3</v>
    <v>-0.22</v>
    <v>-1.1326000000000001E-2</v>
    <v>2641319000</v>
    <v>E.ON SE ist ein in Deutschland ansässiges Energieunternehmen. Das Kerngeschäft des Unternehmens ist in zwei Segmente unterteilt: Energienetze und Kundenlösungen. Das Segment Energienetze umfasst Strom- und Gasverteilnetze und damit verbundene Aktivitäten, die in drei regionale Märkte unterteilt sind: Deutschland, Schweden und Ost-Mitteleuropa/Türkei. Hauptaufgaben sind der Betrieb der Netze, die Wartung, die Instandhaltung und der Ausbau der Netze, einschließlich der Kundenanschlüsse und der Integration erneuerbarer Energien. Das Segment Kundenlösungen konzentriert sich auf die Zusammenarbeit mit Kunden zur Unterstützung der Energiewende in Europa. Es liefert Strom, Gas und Wärme und bietet Lösungen für Energieeffizienz, Autonomie und eMobilität. Das Unternehmen bedient Privatkunden, kleine und mittlere Unternehmen (KMU), Gewerbe- und Industriekunden, Vertriebspartner und öffentliche Einrichtungen an verschiedenen Standorten. Energy Infrastructure Solutions arbeitet auch an der Dekarbonisierung von gewerblichen Kunden, Städten und Gemeinden.</v>
    <v>0.747</v>
    <v>44057200000</v>
    <v>Deutsche Boerse AG</v>
    <v>XFRA</v>
    <v>XFRA</v>
    <v>Bruesseler Platz 1, ESSEN, NORDRHEIN-WESTFALEN, 45131 DE</v>
    <v>19.425000000000001</v>
    <v>Multiline Utilities</v>
    <v>Aktie</v>
    <v>29.098500000000001</v>
    <v>135</v>
    <v>46128.699062500003</v>
    <v>78270</v>
    <v>E.ON SE</v>
    <v>19.204999999999998</v>
    <v>E.ON SE</v>
    <v>19.399999999999999</v>
    <v>19.204999999999998</v>
    <v>19.425000000000001</v>
    <v>EOAN</v>
    <v>E.ON SE (XFRA:EOAN)</v>
    <v>2017</v>
    <v>10420</v>
    <v>3976840</v>
    <v>EUR</v>
  </rv>
  <rv s="2">
    <v>556</v>
  </rv>
  <rv s="1">
    <v>de-DE</v>
    <v>a1safr</v>
    <v>268435456</v>
    <v>1</v>
    <v>Unterstützt von Refinitiv</v>
    <v>0</v>
    <v>1</v>
    <v>EATON CORPORATION PUBLIC LIMITED COMPANY (XNYS:ETN)</v>
    <v>3</v>
    <v>4</v>
    <v>Finance</v>
    <v>5</v>
    <v>408.45</v>
    <v>255.1</v>
    <v>-2.8</v>
    <v>-7.0879999999999997E-3</v>
    <v>387985400</v>
    <v>Eaton Corporation plc ist ein intelligentes Energiemanagement-Unternehmen. Das Segment Electrical Americas umfasst elektrische Komponenten, industrielle Komponenten, Stromverteiler und Baugruppen, Wohnprodukte, einphasige Netzqualität und -Konnektivität, Verdrahtungsgeräte und andere. Das Segment Electrical Global umfasst elektrische Komponenten, industrielle Komponenten, Stromverteilung und Baugruppen, ein- und dreiphasige Netzqualität sowie Dienstleistungen. Das Segment Luft- und Raumfahrt ist ein globaler Anbieter von Kraftstoff-, Hydraulik- und Pneumatiksystemen für gewerbliche und militärische Zwecke sowie von Filtrationssystemen für industrielle Anwendungen. Das Fahrzeugsegment entwickelt, produziert, vermarktet und liefert Antriebsstrang, Antriebsstrangsysteme und kritische Komponenten. Das Segment eMobility entwickelt, produziert, vermarktet und liefert mechanische, elektrische, und elektronische Komponenten und Systeme. Das Unternehmen ist auch mit der thermischen Überwachung kritischer elektrischer Anlagen befasst.</v>
    <v>1.1821999999999999</v>
    <v>152191153004</v>
    <v>New York Stock Exchange</v>
    <v>XNYS</v>
    <v>XNYS</v>
    <v>EATON HOUSE 30 PEMBROKE ROAD DUBLIN 4, DUBLIN, D04 Y0C2 IE</v>
    <v>395.95499999999998</v>
    <v>Machinery, Equipment &amp; Components</v>
    <v>Aktie</v>
    <v>37.526400000000002</v>
    <v>138</v>
    <v>46128.710701596872</v>
    <v>97000</v>
    <v>EATON CORPORATION PUBLIC LIMITED COMPANY</v>
    <v>387.66</v>
    <v>EATON CORPORATION PUBLIC LIMITED COMPANY</v>
    <v>394.27</v>
    <v>392.26</v>
    <v>395.06</v>
    <v>ETN</v>
    <v>EATON CORPORATION PUBLIC LIMITED COMPANY (XNYS:ETN)</v>
    <v>2012</v>
    <v>781117</v>
    <v>2389890</v>
    <v>USD</v>
  </rv>
  <rv s="2">
    <v>558</v>
  </rv>
  <rv s="8">
    <v>de-DE</v>
    <v>b1ldf2</v>
    <v>268435456</v>
    <v>1</v>
    <v>Unterstützt von Refinitiv</v>
    <v>23</v>
    <v>24</v>
    <v>ABB Ltd (XSWX:ABBN)</v>
    <v>3</v>
    <v>25</v>
    <v>Finance</v>
    <v>26</v>
    <v>73</v>
    <v>40.74</v>
    <v>0.04</v>
    <v>5.5250000000000004E-4</v>
    <v>1843899000</v>
    <v>ABB AG ist eine Holdinggesellschaft. Zu den Segmenten der Gesellschaft gehören Elektrifizierungsprodukte, Robotik und Antriebe, Industrial Automation, Power Grids, und Unternehmen und Andere. Sie in vier Geschäftsbereichen tätig: Elektrifizierungsprodukte, Robotik und Antriebe, Industrial Automation und Power Grids. Sie bedient den Kunden in Bereichen Versorgungsunternehmen, Industrie und Verkehr und Infrastruktur. Das Segment Elektrifizierungsprodukte produziert und vertreibt Produkte und Dienstleistungen, darunter Nieder- und Mittelspannungsschaltanlage, Leistungsschalter, Schalter und Steuerungsprodukte. Das Segment Robotik und Antriebe produziert und vertreibt Motoren, Generatoren, drehzahlvariable Antriebe, Roboter und Robotik. Das Segment Industrial Automation entwickelt und vertreibt Steuerungs- und Anlagenoptimierungssysteme sowie automationstechnische Produkte und Lösungen. Das Segment Power Grids bietet energie- und automationstechnische Produkte, Systeme, und Service- und Softwarelösungen.</v>
    <v>1.1049</v>
    <v>112749400000</v>
    <v>SIX Swiss Exchange</v>
    <v>XSWX</v>
    <v>XSWX</v>
    <v>Affolternstrasse 44, ZUERICH, ZUERICH, 8050 CH</v>
    <v>73</v>
    <v>Machinery, Equipment &amp; Components</v>
    <v>Aktie</v>
    <v>35.336599999999997</v>
    <v>141</v>
    <v>46128.694456018522</v>
    <v>111900</v>
    <v>ABB Ltd</v>
    <v>72.06</v>
    <v>ABB Ltd</v>
    <v>72.900000000000006</v>
    <v>72.44</v>
    <v>72.900000000000006</v>
    <v>72.400000000000006</v>
    <v>ABBN</v>
    <v>ABB Ltd (XSWX:ABBN)</v>
    <v>1999</v>
    <v>6.3499999999999997E-3</v>
    <v>0.46</v>
    <v>1520108</v>
    <v>2546650</v>
    <v>CHF</v>
  </rv>
  <rv s="2">
    <v>560</v>
  </rv>
  <rv s="9">
    <v>de-DE</v>
    <v>a23rrw</v>
    <v>268435456</v>
    <v>1</v>
    <v>Unterstützt von Refinitiv</v>
    <v>27</v>
    <v>28</v>
    <v>SUNCOR ENERGY INC. (XNYS:SU)</v>
    <v>3</v>
    <v>29</v>
    <v>Finance</v>
    <v>5</v>
    <v>67.760000000000005</v>
    <v>33.39</v>
    <v>0.58499999999999996</v>
    <v>9.2899999999999996E-3</v>
    <v>1201267000</v>
    <v>Suncor Energy Inc. Ist ein in Kanada ansässiges integriertes Energieunternehmen. Zu den Segmenten des Unternehmens gehören Ölsande, Exploration und Produktion (E&amp;P) sowie Raffinerie und Marketing. Zu seinen Aktivitäten gehören die Entwicklung, Förderung und Modernisierung von Ölsanden, die Offshore-Ölproduktion, die Erdölraffination in Kanada und den Vereinigten Staaten sowie die Vertriebsnetze für den Einzelhandel und Großhandel von Petro-Canada (einschließlich des kanadischen Electric Highway, eines von Küste zu Küste verlaufenden Netzes von Elektrofahrzeugen (EV)). Das Unternehmen entwickelt Erdölressourcen und fördert gleichzeitig den Übergang zu einer emissionsärmeren Zukunft durch Investitionen in Strom mit geringerer Intensität, erneuerbare Einsatzstoffe und Projekte zur Emissionsintensität. Das Unternehmen betreibt auch Energiehandelsaktivitäten, die sich hauptsächlich auf die Vermarktung und den Handel mit Rohöl, Erdgas, Nebenprodukten, raffinierten Produkten und Strom konzentrieren. Das Fort Hills Project liegt in Albertas Athabasca-Region.</v>
    <v>0.82730000000000004</v>
    <v>80112480000</v>
    <v>New York Stock Exchange</v>
    <v>XNYS</v>
    <v>XNYS</v>
    <v>P.O. Box 2844, 150 - 6Th Avenue S.W., CALGARY, AB, T2P 3E3 CA</v>
    <v>63.895000000000003</v>
    <v>Oil &amp; Gas</v>
    <v>Aktie</v>
    <v>17.9773</v>
    <v>144</v>
    <v>46128.710698240626</v>
    <v>15010</v>
    <v>SUNCOR ENERGY INC.</v>
    <v>63.01</v>
    <v>SUNCOR ENERGY INC.</v>
    <v>63.05</v>
    <v>63.555</v>
    <v>62.97</v>
    <v>SU</v>
    <v>SUNCOR ENERGY INC. (XNYS:SU)</v>
    <v>2164430</v>
    <v>5228361</v>
    <v>USD</v>
  </rv>
  <rv s="2">
    <v>562</v>
  </rv>
  <rv s="1">
    <v>de-DE</v>
    <v>aftpzr</v>
    <v>268435456</v>
    <v>1</v>
    <v>Unterstützt von Refinitiv</v>
    <v>0</v>
    <v>1</v>
    <v>Siemens Aktiengesellschaft (XETR:SIE)</v>
    <v>3</v>
    <v>6</v>
    <v>Finance</v>
    <v>7</v>
    <v>275.75</v>
    <v>180.96</v>
    <v>2.2000000000000002</v>
    <v>9.2669999999999992E-3</v>
    <v>782000000</v>
    <v>Die Siemens AG ist ein in Deutschland ansässiges Technologieunternehmen, das sich auf die Bereiche Automatisierung und Digitalisierung in der Prozess- und Fertigungsindustrie, intelligente Infrastruktur für Gebäude und dezentrale Energiesysteme, intelligente Mobilitätslösungen für den Schienenverkehr sowie Medizintechnik und digitale Gesundheitsdienstleistungen konzentriert. Das Unternehmen ist in folgenden Segmenten tätig: Digital Industries, das Produkte und Systemlösungen für die Automatisierung anbietet, die in der diskreten Industrie und in der Prozessindustrie verwendet werden; Smart Infrastructure, die Energiesysteme und Gebäudetechnologien liefert und verbindet; Mobility, die alle Geschäftsbereiche im Bereich des Schienengüterverkehrs und des Schienengüterverkehrs vereint; Siemens Healthineers, das Produkte, Lösungen und Dienstleistungen im Gesundheitswesen anbietet, und Siemens Financial Services (SFS), das Leasinglösungen und -Ausrüstung, Projekt- und strukturierte Finanzierungen in Form von Fremdkapital- und Eigenkapitalinvestitionen anbietet.</v>
    <v>1.4208000000000001</v>
    <v>209400000000</v>
    <v>Xetra</v>
    <v>XETR</v>
    <v>XETR</v>
    <v>Werner-von-Siemens-Strasse 1, MUNICH, BAYERN, 80333 DE</v>
    <v>241.4</v>
    <v>Machinery, Equipment &amp; Components</v>
    <v>Aktie</v>
    <v>23.5945</v>
    <v>147</v>
    <v>46128.699525462966</v>
    <v>317000</v>
    <v>Siemens Aktiengesellschaft</v>
    <v>237.4</v>
    <v>Siemens Aktiengesellschaft</v>
    <v>239.2</v>
    <v>239.6</v>
    <v>237.4</v>
    <v>SIE</v>
    <v>Siemens Aktiengesellschaft (XETR:SIE)</v>
    <v>1996</v>
    <v>1051713</v>
    <v>1479990</v>
    <v>EUR</v>
  </rv>
  <rv s="2">
    <v>564</v>
  </rv>
  <rv s="1">
    <v>de-DE</v>
    <v>a1tr1h</v>
    <v>268435456</v>
    <v>1</v>
    <v>Unterstützt von Refinitiv</v>
    <v>0</v>
    <v>1</v>
    <v>GENERAL ELECTRIC COMPANY (XNYS:GE)</v>
    <v>3</v>
    <v>4</v>
    <v>Finance</v>
    <v>5</v>
    <v>348.48</v>
    <v>176.02</v>
    <v>-12.61</v>
    <v>-4.0168000000000002E-2</v>
    <v>1044830000</v>
    <v>General Electric Company, die unter dem Namen GE Aerospace auftritt, ist ein weltweit tätiges Unternehmen für Luftfahrtantriebe, Dienstleistungen und Systeme. Das Unternehmen verfügt über eine installierte Basis von etwa 45.000 zivilen und 25.000 militärischen Flugzeugtriebwerken. Das Unternehmen ist in zwei Segmenten tätig: Commercial Engines &amp; Services und Defense &amp; Propulsion Technologies. Das Segment Commercial Engines &amp; Services entwirft, entwickelt, fertigt und wartet Düsentriebwerke für zivile Flugzeuge, für die Geschäftsluftfahrt und für abgeleitete Anwendungen. Zu den Dienstleistungen gehören die Wartung, Reparatur und Überholung von Triebwerken sowie der Verkauf von Ersatzteilen, die im Rahmen verschiedener Vereinbarungen angeboten werden. Das Segment Defense &amp; Propulsion Technologies bietet Verteidigungsmotoren und kritische Flugzeugsysteme an und besteht aus den Geschäftsbereichen Defense &amp; Systems und Propulsion &amp; Additive Technologies. Zu seinem Markenportfolio gehören Avio Aero, Unison, Dowty Propellers und Colibrium Additive.</v>
    <v>1.4704999999999999</v>
    <v>314828175600</v>
    <v>New York Stock Exchange</v>
    <v>XNYS</v>
    <v>XNYS</v>
    <v>1 Neumann Way, Evendale, OH, 45215 US</v>
    <v>313.95</v>
    <v>Aerospace &amp; Defense</v>
    <v>Aktie</v>
    <v>37.401800000000001</v>
    <v>150</v>
    <v>46128.71078149297</v>
    <v>57000</v>
    <v>GENERAL ELECTRIC COMPANY</v>
    <v>300.56</v>
    <v>GENERAL ELECTRIC COMPANY</v>
    <v>313.88</v>
    <v>301.32</v>
    <v>313.93</v>
    <v>GE</v>
    <v>GENERAL ELECTRIC COMPANY (XNYS:GE)</v>
    <v>1892</v>
    <v>2914800</v>
    <v>5581781</v>
    <v>USD</v>
  </rv>
  <rv s="2">
    <v>566</v>
  </rv>
  <rv s="1">
    <v>de-DE</v>
    <v>a21gh7</v>
    <v>268435456</v>
    <v>1</v>
    <v>Unterstützt von Refinitiv</v>
    <v>0</v>
    <v>1</v>
    <v>QUANTA SERVICES, INC. (XNYS:PWR)</v>
    <v>3</v>
    <v>4</v>
    <v>Finance</v>
    <v>5</v>
    <v>599</v>
    <v>251.04</v>
    <v>-10.78</v>
    <v>-1.8214999999999999E-2</v>
    <v>150056700</v>
    <v>Quanta Services, Inc. Bietet spezialisierte Infrastrukturlösungen für Versorgungsunternehmen, erneuerbare Energien, Technologie, Kommunikation, Pipeline, und Energiebranchen in den USA, Kanada, Australien und anderen internationalen Märkten. Zu den Segmenten zählen elektrische Infrastrukturlösungen (elektrisch) sowie unterirdische Versorgungslösungen und Infrastrukturlösungen (unterirdisch und infrastrukturell). Electric bietet umfassende Dienstleistungen für die Märkte Strom, erneuerbare Energien, Technologie und Kommunikation. Zu den Dienstleistungen gehören Planung, Beschaffung, Neubau, Modernisierung, Reparatur und Wartung von Stromübertragungs- und -Verteilungsinfrastrukturen, sowohl über- als auch unter-, und Umspannwerke sowie andere technische und technische Dienstleistungen. Underground and Infrastructure bietet umfassende Infrastrukturlösungen für Kunden, die mit Transport, Verteilung, Lagerung, Entwicklung und Verarbeitung von Erdgas, Öl und anderen Produkten befasst sind.</v>
    <v>1.0824</v>
    <v>87188944968</v>
    <v>New York Stock Exchange</v>
    <v>XNYS</v>
    <v>XNYS</v>
    <v>2727 NORTH LOOP WEST, HOUSTON, TX, 77008 US</v>
    <v>591.96</v>
    <v>Construction &amp; Engineering</v>
    <v>Aktie</v>
    <v>85.530100000000004</v>
    <v>153</v>
    <v>46128.710753923435</v>
    <v>69500</v>
    <v>QUANTA SERVICES, INC.</v>
    <v>580.13</v>
    <v>QUANTA SERVICES, INC.</v>
    <v>586.5</v>
    <v>581.04</v>
    <v>591.82000000000005</v>
    <v>PWR</v>
    <v>QUANTA SERVICES, INC. (XNYS:PWR)</v>
    <v>1997</v>
    <v>338143</v>
    <v>1080706</v>
    <v>USD</v>
  </rv>
  <rv s="2">
    <v>568</v>
  </rv>
  <rv s="1">
    <v>de-DE</v>
    <v>a1uyk2</v>
    <v>268435456</v>
    <v>1</v>
    <v>Unterstützt von Refinitiv</v>
    <v>0</v>
    <v>1</v>
    <v>HUBBELL INCORPORATED (XNYS:HUBB)</v>
    <v>3</v>
    <v>4</v>
    <v>Finance</v>
    <v>5</v>
    <v>548.97</v>
    <v>325.08</v>
    <v>-4.4349999999999996</v>
    <v>-8.4170000000000009E-3</v>
    <v>53024730</v>
    <v>Hubbell Incorporated ist ein weltweit tätiger Hersteller von Elektroprodukten und Versorgungslösungen für eine Reihe von Kunden- und Endmarktanwendungen. Es ist in zwei Segmente tätig: Versorgungslösungen und elektrische Lösungen. Das Segment Utility Solutions besteht aus Unternehmen, die eine Vielzahl von Produkten für elektrische Verteilung, Übertragung, Umspannwerke und Telekommunikation entwickeln, herstellen und verkaufen, die Anwendungen vor dem Messgerät unterstützen. Das Segment Electrical Solutions umfasst Geschäftsbereiche, die Lagerprodukte und kundenspezifische Produkte verkaufen, darunter Standard- und Spezialprodukte für Verdrahtungsgeräte, raue Elektroprodukte, Steckverbinder und Erdungsprodukte sowie andere elektrische Geräte. Das Unternehmen bietet auch eine Vielzahl von Verdrahtungsgeräten und elektrischen Produkten für Wohn- und Versorgungsanwendungen an. Seine Produkte werden entweder vollständig bezogen, hergestellt oder von seinen Tochtergesellschaften montiert.</v>
    <v>1.0033000000000001</v>
    <v>27705686548</v>
    <v>New York Stock Exchange</v>
    <v>XNYS</v>
    <v>XNYS</v>
    <v>40 Waterview Drive, SHELTON, CT, 06484 US</v>
    <v>528.5</v>
    <v>Machinery, Equipment &amp; Components</v>
    <v>Aktie</v>
    <v>31.307200000000002</v>
    <v>156</v>
    <v>46128.710652603906</v>
    <v>18000</v>
    <v>HUBBELL INCORPORATED</v>
    <v>517.83000000000004</v>
    <v>HUBBELL INCORPORATED</v>
    <v>526.20000000000005</v>
    <v>522.505</v>
    <v>526.94000000000005</v>
    <v>HUBB</v>
    <v>HUBBELL INCORPORATED (XNYS:HUBB)</v>
    <v>1905</v>
    <v>216429</v>
    <v>535406</v>
    <v>USD</v>
  </rv>
  <rv s="2">
    <v>570</v>
  </rv>
  <rv s="1">
    <v>de-DE</v>
    <v>a1pcnm</v>
    <v>268435456</v>
    <v>1</v>
    <v>Unterstützt von Refinitiv</v>
    <v>0</v>
    <v>1</v>
    <v>CAMECO CORPORATION (XNYS:CCJ)</v>
    <v>3</v>
    <v>30</v>
    <v>Finance</v>
    <v>5</v>
    <v>135.24</v>
    <v>38.975000000000001</v>
    <v>0.86</v>
    <v>7.2199999999999999E-3</v>
    <v>435533000</v>
    <v>Die Cameco Corporation ist ein Anbieter von Uranbrennstoff zur Erzeugung von Grundlaststrom auf der ganzen Welt. Zu den Segmenten gehören Uran, Brennstoffdienstleistungen und Westinghouse. Das Uransegment umfasst die Exploration von Urankonzentrat, den Bergbau, das Fräsen, den Kauf und den Verkauf von Urankonzentrat. Das Segment Kraftstoffdienstleistungen umfasst die Raffination, Umwandlung und Herstellung von Urankonzentrat sowie den Kauf und Verkauf von Umwandlungsdienstleistungen. Das Segment Westinghouse spiegelt seine Erträge aus dieser eigenkapitalbilanzierten Investition wider. Westinghouse ist ein Hersteller von Erstausrüstungen für Kernreaktortechnologie und ein globaler Anbieter von Produkten und Dienstleistungen für gewerbliche Versorgungsunternehmen und Regierungsbehörden. Es bietet Ausfallzeiten und Wartungsdienstleistungen, technischen Support, Instrumentierung und Steuerausrüstung, Anlagenumbau sowie Komponenten und Teile von Kernreaktoren. Es verfügt über zwei in Betrieb befindliche Minen, Cigar Lake und McArthur River sowie eine Mühle am Key Lake. Außerdem hat das Unternehmen Beteiligungen an Global Laser Enrichment.</v>
    <v>1.0215000000000001</v>
    <v>45260589360</v>
    <v>New York Stock Exchange</v>
    <v>XNYS</v>
    <v>XNYS</v>
    <v>2121 11th St W, SASKATOON, SK, S7M 1J3 CA</v>
    <v>122.74</v>
    <v>Uranium</v>
    <v>Aktie</v>
    <v>121.63639999999999</v>
    <v>159</v>
    <v>46128.710778032029</v>
    <v>2424</v>
    <v>CAMECO CORPORATION</v>
    <v>119.59010000000001</v>
    <v>CAMECO CORPORATION</v>
    <v>121.33</v>
    <v>119.97</v>
    <v>119.11</v>
    <v>CCJ</v>
    <v>CAMECO CORPORATION (XNYS:CCJ)</v>
    <v>1997</v>
    <v>1741863</v>
    <v>3196443</v>
    <v>USD</v>
  </rv>
  <rv s="2">
    <v>572</v>
  </rv>
  <rv s="1">
    <v>de-DE</v>
    <v>a1p252</v>
    <v>268435456</v>
    <v>1</v>
    <v>Unterstützt von Refinitiv</v>
    <v>0</v>
    <v>1</v>
    <v>BWX TECHNOLOGIES, INC. (XNYS:BWXT)</v>
    <v>3</v>
    <v>4</v>
    <v>Finance</v>
    <v>5</v>
    <v>241.82</v>
    <v>99.63</v>
    <v>-6.6950000000000003</v>
    <v>-2.8081000000000002E-2</v>
    <v>91611920</v>
    <v>BWX Technologies, Inc. ist ein Spezialhersteller von Nuklearkomponenten, ein Entwickler von Nukleartechnologien und ein Dienstleister. Das Unternehmen bietet außerdem spezielle Dienstleistungen, Produkte und Dienstleistungen zur Verarbeitung von Nuklearmaterial sowie zur Sanierung von Umweltstandorten an. Das Segment „Government Operations“ stellt Marine-Kernreaktoren einschließlich zugehöriger Kernbrennstoffe für das United States Naval Nuclear Propulsion Program für den Einsatz in U-Booten und Flugzeugträgern her. Darüber hinaus werden kraftstoffführende Präzisionskomponenten mit einem Gewicht von wenigen Gramm bis zu Hunderten von Tonnen hergestellt, elektromechanische Geräte hergestellt und Konstruktions-, Fertigungs-, Inspektions-, Montage- und Testaktivitäten durchgeführt. Das Unternehmen ist außerdem ein Anbieter von fortschrittlichen Spezialmaterialien, der Fertigung und der Herstellung hochfester Legierungen. Das Segment Commercial Operations entwickelt und fertigt kommerzielle Kerndampferzeuger, Wärmetauscher, Druckbehälter, Reaktorkomponenten und andere Hilfsgeräte.</v>
    <v>0.86099999999999999</v>
    <v>21228772162</v>
    <v>New York Stock Exchange</v>
    <v>XNYS</v>
    <v>XNYS</v>
    <v>800 Main Street, 4Th Floor, LYNCHBURG, VA, 24504 US</v>
    <v>241.82</v>
    <v>Aerospace &amp; Defense</v>
    <v>Aktie</v>
    <v>64.713200000000001</v>
    <v>162</v>
    <v>46128.71078887656</v>
    <v>10400</v>
    <v>BWX TECHNOLOGIES, INC.</v>
    <v>231.33</v>
    <v>BWX TECHNOLOGIES, INC.</v>
    <v>240.67</v>
    <v>231.72499999999999</v>
    <v>238.42</v>
    <v>BWXT</v>
    <v>BWX TECHNOLOGIES, INC. (XNYS:BWXT)</v>
    <v>2010</v>
    <v>405228</v>
    <v>1035878</v>
    <v>USD</v>
  </rv>
  <rv s="2">
    <v>574</v>
  </rv>
  <rv s="7">
    <v>de-DE</v>
    <v>bx1rdm</v>
    <v>268435456</v>
    <v>1</v>
    <v>Unterstützt von Refinitiv</v>
    <v>20</v>
    <v>21</v>
    <v>Nuscale Power (XNYS:SMR)</v>
    <v>3</v>
    <v>22</v>
    <v>Finance</v>
    <v>5</v>
    <v>57.42</v>
    <v>8.85</v>
    <v>-0.22500000000000001</v>
    <v>-1.9213999999999998E-2</v>
    <v>338016300</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2.2732999999999999</v>
    <v>3882117205</v>
    <v>New York Stock Exchange</v>
    <v>XNYS</v>
    <v>XNYS</v>
    <v>1100 Ne Circle Blvd., Suite 350, CORVALLIS, OR, 97330 US</v>
    <v>12.42</v>
    <v>Electrical Utilities &amp; IPPs</v>
    <v>Aktie</v>
    <v>165</v>
    <v>46128.710788714845</v>
    <v>428</v>
    <v>Nuscale Power</v>
    <v>11.03</v>
    <v>Nuscale Power</v>
    <v>12.41</v>
    <v>11.484999999999999</v>
    <v>11.71</v>
    <v>SMR</v>
    <v>Nuscale Power (XNYS:SMR)</v>
    <v>2022</v>
    <v>50135578</v>
    <v>23361106</v>
    <v>USD</v>
  </rv>
  <rv s="2">
    <v>576</v>
  </rv>
  <rv s="1">
    <v>de-DE</v>
    <v>a24tlh</v>
    <v>268435456</v>
    <v>1</v>
    <v>Unterstützt von Refinitiv</v>
    <v>0</v>
    <v>1</v>
    <v>URANIUM ENERGY CORP. (XNYS:UEC)</v>
    <v>3</v>
    <v>4</v>
    <v>Finance</v>
    <v>5</v>
    <v>20.34</v>
    <v>4.5800999999999998</v>
    <v>0.25</v>
    <v>1.6869000000000002E-2</v>
    <v>490220800</v>
    <v>Uranium Energy Corp ist ein Lieferant von Uran zur Erzeugung von Kernenergie. Das Unternehmen fördert die in-situ-Gewinnung (ISR) in den USA und die hochgradigen konventionellen Projekte in Kanada. Es verfügt über drei ISR-Hub-and-Spoke-Plattformen in Südtexas und Wyoming. Diese Produktionsplattformen sind in lizenzierten zentralen Verarbeitungsbetrieben verankert, die von einer Pipeline von Satelliten-ISR-Projekten bedient werden sollen, darunter sieben, die bereits über entsprechende Genehmigungen verfügen. Darüber hinaus hat das Unternehmen Uranbestände diversifiziert, darunter Uranportfolios von U3O8 in den USA, eine Beteiligung an Uranium Royalty Corp. Und eine Pipeline aus Uranprojekten in der westlichen Hemisphäre. Zu den Uranprojekten gehören die Mine Palangana und Christensen Ranch sowie die Projekte Red Desert, Green Mountain, Roughrider und Christie Lake. Die Palangana Mine ist ein 6.969 Hektar großes Grundstück in Duval County, Texas, etwa 100 Meilen südlich der Hobson Processing Facility.</v>
    <v>1.2071000000000001</v>
    <v>7387627456</v>
    <v>New York Stock Exchange</v>
    <v>XNYS</v>
    <v>XNYS</v>
    <v>1188 West Georgia Street Suite 1830, BC, V6E 4A2 CA</v>
    <v>15.285</v>
    <v>Uranium</v>
    <v>Aktie</v>
    <v>0</v>
    <v>168</v>
    <v>46128.710755960157</v>
    <v>171</v>
    <v>URANIUM ENERGY CORP.</v>
    <v>14.88</v>
    <v>URANIUM ENERGY CORP.</v>
    <v>15.09</v>
    <v>15.07</v>
    <v>14.82</v>
    <v>UEC</v>
    <v>URANIUM ENERGY CORP. (XNYS:UEC)</v>
    <v>2003</v>
    <v>4694830</v>
    <v>9168702</v>
    <v>USD</v>
  </rv>
  <rv s="2">
    <v>578</v>
  </rv>
  <rv s="1">
    <v>de-DE</v>
    <v>a1yxkr</v>
    <v>268435456</v>
    <v>1</v>
    <v>Unterstützt von Refinitiv</v>
    <v>0</v>
    <v>1</v>
    <v>NEXGEN ENERGY LTD. (XNYS:NXE)</v>
    <v>3</v>
    <v>30</v>
    <v>Finance</v>
    <v>5</v>
    <v>13.96</v>
    <v>4.3899999999999997</v>
    <v>0.28499999999999998</v>
    <v>2.3189999999999999E-2</v>
    <v>607911200</v>
    <v>NexGen Energy Ltd. Ist ein kanadisches Unternehmen, das sich auf die Lieferung sauberer Kraftstoffe für die Zukunft konzentriert. Das Unternehmen beteiligt sich an der Übernahme, Exploration, Evaluierung und Erschließung von Urankonzessionen in Kanada. Es konzentriert sich auf die optimale Entwicklung des Rook I-Projekts. Das Unternehmen verfügt über ein Portfolio von hochgradig aussichtsreichen Projekten, einschließlich des zu 100 % im Besitz befindlichen Konzessionsgebiets Rook I, das die hochgradige Arrow-Lagerstätte, South Arrow, Harpoon, Bow und das Gebiet Cannon beherbergt. Das Rook I-Projekt ist ein Uranprojekt in Kanada. Die neue unterirdische Mine- und Mühlenentwicklung befindet sich im uranreichen Bezirk des südwestlichen Bereichs des Athabasca Basin in Saskatchewan. Arrow ist eine zu 100 % landgestützte Entdeckung mit hochgradigem Uran im Keller. Das Rook I-Projekt, Gastgeber der Arrow-Lagerstätte, die ein Uranprojekt in der Entwicklungsphase in Kanada ist und zu 100 % im Besitz von NexGen Energy Ltd. Ist Das Rook I-Grundstück beherbergt die Harpoon Discovery, die 4,7 km nordöstlich der Arrow Deponie liegt.</v>
    <v>1.6782999999999999</v>
    <v>9453020000</v>
    <v>New York Stock Exchange</v>
    <v>XNYS</v>
    <v>XNYS</v>
    <v>3150 - 1021 West Hastings Street, VANCOUVER, BC, V6E 0C3 CA</v>
    <v>12.76</v>
    <v>Uranium</v>
    <v>Aktie</v>
    <v>0</v>
    <v>171</v>
    <v>46128.710678680465</v>
    <v>142</v>
    <v>NEXGEN ENERGY LTD.</v>
    <v>12.414999999999999</v>
    <v>NEXGEN ENERGY LTD.</v>
    <v>12.48</v>
    <v>12.574999999999999</v>
    <v>12.29</v>
    <v>NXE</v>
    <v>NEXGEN ENERGY LTD. (XNYS:NXE)</v>
    <v>2013</v>
    <v>2694783</v>
    <v>7405520</v>
    <v>USD</v>
  </rv>
  <rv s="2">
    <v>580</v>
  </rv>
  <rv s="7">
    <v>de-DE</v>
    <v>a1r7k2</v>
    <v>268435456</v>
    <v>1</v>
    <v>Unterstützt von Refinitiv</v>
    <v>20</v>
    <v>21</v>
    <v>DENISON MINES CORP. (XNYS:DNN)</v>
    <v>3</v>
    <v>31</v>
    <v>Finance</v>
    <v>5</v>
    <v>4.43</v>
    <v>1.24</v>
    <v>6.9900000000000004E-2</v>
    <v>1.8015E-2</v>
    <v>904015900</v>
    <v>Denison Mines Corp. Ist ein kanadisches Uranexplorations- und -Erschließungsunternehmen, das sich auf das Athabasca-Becken im Norden von Saskatchewan (Kanada) konzentriert. Das Unternehmen hält eine 95%ige Beteiligung am Projekt Wheeler River, einem Uranprojekt. Es beherbergt zwei Uranlagerstätten: Phoenix und Gryphon. Sie liegt am östlichen Rand des Athabasca-Beckens im Norden von Saskatchewan. Das Unternehmen hält 22,5% der Anteile am McClean Lake Joint Venture (MLJV), das mehrere Uranlagerstätten und die Uranfabrik McClean Lake umfasst. Außerdem hält sie 25,17 % der Anteile an den Vorräten Midwest Main und Midwest A sowie 67 41 % der Vorräte Tthe Heldeth tue (THT) und Huskie auf dem Grundstück Waterbury Lake. Das Unternehmen hält über die JCU (Canada) Exploration Company, Limited indirekte Anteile am Millennium-Projekt, am Kiggavik-Projekt und am Christie Lake-Projekt. Es bietet auch Umweltdienstleistungen an. Das Unternehmen setzt auch MaxPERF Bohrwerkzeugtechnologie und -Systeme ein.</v>
    <v>1.6574</v>
    <v>4181374000</v>
    <v>New York Stock Exchange</v>
    <v>XNYS</v>
    <v>XNYS</v>
    <v>1100-40 University Avenue, ON, M5J 1T1 CA</v>
    <v>4.0199999999999996</v>
    <v>Uranium</v>
    <v>Aktie</v>
    <v>174</v>
    <v>46128.710793032034</v>
    <v>75</v>
    <v>DENISON MINES CORP.</v>
    <v>3.8875999999999999</v>
    <v>DENISON MINES CORP.</v>
    <v>3.94</v>
    <v>3.9499</v>
    <v>3.88</v>
    <v>DNN</v>
    <v>DENISON MINES CORP. (XNYS:DNN)</v>
    <v>2006</v>
    <v>15301056</v>
    <v>39296518</v>
    <v>USD</v>
  </rv>
  <rv s="2">
    <v>582</v>
  </rv>
  <rv s="1">
    <v>de-DE</v>
    <v>a1wuoc</v>
    <v>268435456</v>
    <v>1</v>
    <v>Unterstützt von Refinitiv</v>
    <v>0</v>
    <v>1</v>
    <v>CENTRUS ENERGY CORP. (XNYS:LEU)</v>
    <v>3</v>
    <v>4</v>
    <v>Finance</v>
    <v>5</v>
    <v>464.25</v>
    <v>60.52</v>
    <v>2.92</v>
    <v>1.4763E-2</v>
    <v>19664560</v>
    <v>Centrus Energy Corp. ist ein Lieferant von Kernbrennstoffkomponenten für die Atomindustrie. Zu seinen Geschäftsbereichen zählen niedrig angereichertes Uran (LEU) und technische Lösungen. Der Geschäftsbereich LEU beliefert gewerbliche Kunden über sein globales Lieferantennetzwerk mit verschiedenen Kernbrennstoffkomponenten. Der Geschäftsbereich LEU besteht aus zwei Komponenten: SWU und natürlichem Uranhexafluorid. LEU und dessen Komponenten werden an nationale und internationale Versorgungsunternehmen zur Verwendung in Kernreaktoren weltweit geliefert. LEU wird aus verschiedenen Quellen bezogen, darunter aus dem eigenen Lagerbestand, über mittel- und langfristige Lieferverträge sowie über Spotkäufe. Darüber hinaus verkauft Centrus Energy natürliches Uranhexafluorid und gelegentlich auch Urankonzentrate. Der Geschäftsbereich Technische Lösungen bietet Kunden aus dem öffentlichen und privaten Sektor fortschrittliche Ingenieur-, Design- und Fertigungsdienstleistungen. Dabei werden Urananreicherung und andere Verfahren eingesetzt, die zur Herstellung von fortschrittlichem Kernbrennstoff für bestehende Reaktoren weltweit erforderlich sind.</v>
    <v>1.4123000000000001</v>
    <v>3946873837</v>
    <v>New York Stock Exchange</v>
    <v>XNYS</v>
    <v>XNYS</v>
    <v>6901 Rockledge Dr, Suite 800, BETHESDA, MD, 20817 US</v>
    <v>210</v>
    <v>Uranium</v>
    <v>Aktie</v>
    <v>48.253399999999999</v>
    <v>177</v>
    <v>46128.710639687502</v>
    <v>300</v>
    <v>CENTRUS ENERGY CORP.</v>
    <v>197.38499999999999</v>
    <v>CENTRUS ENERGY CORP.</v>
    <v>207.04499999999999</v>
    <v>200.71</v>
    <v>197.79</v>
    <v>LEU</v>
    <v>CENTRUS ENERGY CORP. (XNYS:LEU)</v>
    <v>1998</v>
    <v>639587</v>
    <v>767436</v>
    <v>USD</v>
  </rv>
  <rv s="2">
    <v>584</v>
  </rv>
  <rv s="1">
    <v>de-DE</v>
    <v>c2m6c7</v>
    <v>268435456</v>
    <v>1</v>
    <v>Unterstützt von Refinitiv</v>
    <v>0</v>
    <v>1</v>
    <v>Oklo (XNYS:OKLO)</v>
    <v>3</v>
    <v>4</v>
    <v>Finance</v>
    <v>5</v>
    <v>193.84</v>
    <v>19.89</v>
    <v>-0.54500000000000004</v>
    <v>-8.6029999999999995E-3</v>
    <v>173568800</v>
    <v>Oklo Inc. is an advanced nuclear technology company. The Company is engaged in developing fast fission power plants to provide clean, reliable, and affordable energy at scale. It is developing advanced fuel recycling technologies in collaboration with the United States Department of Energy and United States National Laboratories. It provides 24/7 clean energy to data centers, factories, industrial sites, communities, and defense facilities. It offers heat and power through power purchase agreements. Its powerhouse product line, Aurora, is designed to be inherently safe, to be able to run on fresh or recycled fuel, and to produce 15-50 megawatts electric (MWe) and with the potential to expand powerhouse size to produce 100 MWe of electricity. The Company intends to develop specialized radioisotope production capabilities to address urgent supply shortages in life-saving medical radioisotopes and advanced industrial applications.</v>
    <v>1.0267999999999999</v>
    <v>10900988484</v>
    <v>New York Stock Exchange</v>
    <v>XNYS</v>
    <v>XNYS</v>
    <v>3190 Coronado Dr, SANTA CLARA, CA, 95054 US</v>
    <v>68.760000000000005</v>
    <v>Electrical Utilities &amp; IPPs</v>
    <v>Aktie</v>
    <v>0</v>
    <v>180</v>
    <v>46128.710704270314</v>
    <v>205</v>
    <v>Oklo</v>
    <v>60.81</v>
    <v>Oklo</v>
    <v>67.63</v>
    <v>62.805</v>
    <v>63.35</v>
    <v>OKLO</v>
    <v>Oklo (XNYS:OKLO)</v>
    <v>2021</v>
    <v>13421284</v>
    <v>9247488</v>
    <v>USD</v>
  </rv>
  <rv s="2">
    <v>586</v>
  </rv>
  <rv s="1">
    <v>de-DE</v>
    <v>a1rzh7</v>
    <v>268435456</v>
    <v>1</v>
    <v>Unterstützt von Refinitiv</v>
    <v>0</v>
    <v>1</v>
    <v>ENPHASE ENERGY, INC. (XNAS:ENPH)</v>
    <v>3</v>
    <v>4</v>
    <v>Finance</v>
    <v>5</v>
    <v>54.72</v>
    <v>25.774999999999999</v>
    <v>-0.8</v>
    <v>-2.4860000000000004E-2</v>
    <v>131783900</v>
    <v>Enphase Energy, Inc. Ist ein weltweit tätiges Energieunternehmen. Das Unternehmen ist ein Anbieter von Solar- und Batteriesystemen auf Mikroinverterbasis, mit denen Menschen die Sonne nutzen können, um ihren eigenen Strom herzustellen, zu nutzen, zu sparen und zu verkaufen und alles mit einer intelligenten mobilen Anwendung zu steuern. Das Unternehmen entwirft, entwickelt, produziert und verkauft Energielösungen für Haushalte, die Energieerzeugung, Energiespeicherung sowie Steuerung und Kommunikation auf einer intelligenten Plattform verwalten. Das Enphase Energy System bietet einen technologischen, vernetzten Ansatz für die Solarerzeugung und Energiespeicherung, indem es sein Know-how in Sachen Leistungselektronik, Halbleiter und Cloud-basierte Softwaretechnologien nutzt. Das Enphase Energy System, das von IQ-Mikroinvertern, IQ-Batterien und anderen Produkten und Dienstleistungen betrieben wird, ist ein integriertes Solar-, Speicher- und Energiemanagement-Angebot, das den Eigenverbrauch ermöglicht. Das Unternehmen bietet auch eine prädiktive Softwareplattform zur Vereinfachung der Cleantech-Servicelandschaft an.</v>
    <v>1.3207</v>
    <v>4135378782</v>
    <v>Nasdaq Stock Market</v>
    <v>XNAS</v>
    <v>XNAS</v>
    <v>47281 Bayside Parkway, FREMONT, CA, 94538 US</v>
    <v>33.200000000000003</v>
    <v>Renewable Energy</v>
    <v>Aktie</v>
    <v>24.590499999999999</v>
    <v>183</v>
    <v>46128.710764328127</v>
    <v>2872</v>
    <v>ENPHASE ENERGY, INC.</v>
    <v>31.1401</v>
    <v>ENPHASE ENERGY, INC.</v>
    <v>32.89</v>
    <v>31.38</v>
    <v>32.18</v>
    <v>ENPH</v>
    <v>ENPHASE ENERGY, INC. (XNAS:ENPH)</v>
    <v>2006</v>
    <v>3390919</v>
    <v>5372299</v>
    <v>USD</v>
  </rv>
  <rv s="2">
    <v>588</v>
  </rv>
  <rv s="1">
    <v>de-DE</v>
    <v>a22ra2</v>
    <v>268435456</v>
    <v>1</v>
    <v>Unterstützt von Refinitiv</v>
    <v>0</v>
    <v>1</v>
    <v>SOLAREDGE TECHNOLOGIES, INC. (XNAS:SEDG)</v>
    <v>3</v>
    <v>4</v>
    <v>Finance</v>
    <v>5</v>
    <v>53.75</v>
    <v>11.45</v>
    <v>0.255</v>
    <v>6.7410000000000005E-3</v>
    <v>60366290</v>
    <v>SOLAREDGE TECHNOLOGIES, INC. bietet eine Wechselrichterlösung für Fotovoltaikanlagen. Die Produkte des Unternehmens umfassen Leistungsoptimierer, Wechselrichter und Überwachsungssoftware von SolarEdge. Das Produktportfolio umfasst Bereiche wie Leistungsoptimierer, Wechselrichter, Überwachungsdienste, Energiespeicherung und intelligentes Energiemanagement. Die Leistungsoptimierer des Unternehmens bieten die Nachverfolgung der maximalen Leistungsabgabe auf Modulebene und Echtzeit-Anpassungen von Strom und Spannung an den optimalen Betriebspunkt jedes einzelnen PV-Moduls. Die Unternehmenslösung besteht aus einem Gleichstrom-Leistungsoptimierer, einem Wechselrichter und einer Cloud-basierten Monitoring-Plattform, die als ein integriertes System betrieben wird.</v>
    <v>1.2027000000000001</v>
    <v>2299050154</v>
    <v>Nasdaq Stock Market</v>
    <v>XNAS</v>
    <v>XNAS</v>
    <v>1 HaMada St., POB 12001, HERZLIYA, 4672505 IL</v>
    <v>39.380000000000003</v>
    <v>Renewable Energy</v>
    <v>Aktie</v>
    <v>0</v>
    <v>186</v>
    <v>46128.710724039061</v>
    <v>3576</v>
    <v>SOLAREDGE TECHNOLOGIES, INC.</v>
    <v>37.622999999999998</v>
    <v>SOLAREDGE TECHNOLOGIES, INC.</v>
    <v>38.51</v>
    <v>38.085000000000001</v>
    <v>37.83</v>
    <v>SEDG</v>
    <v>SOLAREDGE TECHNOLOGIES, INC. (XNAS:SEDG)</v>
    <v>2006</v>
    <v>1623292</v>
    <v>3772507</v>
    <v>USD</v>
  </rv>
  <rv s="2">
    <v>590</v>
  </rv>
  <rv s="1">
    <v>de-DE</v>
    <v>a1tdvh</v>
    <v>268435456</v>
    <v>1</v>
    <v>Unterstützt von Refinitiv</v>
    <v>0</v>
    <v>1</v>
    <v>FIRST SOLAR, INC. (XNAS:FSLR)</v>
    <v>3</v>
    <v>4</v>
    <v>Finance</v>
    <v>5</v>
    <v>285.99</v>
    <v>119.09010000000001</v>
    <v>-4.6349999999999998</v>
    <v>-2.3744999999999999E-2</v>
    <v>107450800</v>
    <v>First Solar, Inc. Ist ein Photovoltaik- (PV) Solartechnologie- und Produktionsunternehmen. Mit seiner fortschrittlichen Dünnschicht-PV-Technologie ist es darauf ausgerichtet, die Anforderungen an die Stromerzeugung zu erfüllen. Das Hauptsegment des Unternehmens ist sein Modulgeschäft, das den Entwurf, die Herstellung und den Verkauf von CdTe-Solarmodulen umfasst, die Sonnenlicht in Strom umwandeln. Zu den externen Kunden des Segments gehören Systementwickler, unabhängige Stromerzeuger, Versorgungsunternehmen, gewerbliche und industrielle Unternehmen sowie andere Systemeigentümer und -Betreiber. Zu den Produkten des Unternehmens gehören das Modul der Serie 7 und das Modul der Serie 6 Plus. Das Modul der Serie 6 Plus besteht aus einem Glaslaminat mit einer Größe von ca. 1,2 m x 1,6 m, das Dünnschicht-PV-Halbleitermaterialien verkapselt. Das Modul der Serie 7 hat einen größeren Formfaktor von ca. 1,8 m x 1,8 m. Die Module Serie 6 Plus und Serie 7 hatten eine durchschnittliche Ausgangsleistung von 459 Watt bzw. 531 Watt.</v>
    <v>1.6069</v>
    <v>20476361702</v>
    <v>Nasdaq Stock Market</v>
    <v>XNAS</v>
    <v>XNAS</v>
    <v>4300 E Camelback Road, Suite 220, PHOENIX, AZ, 85018 US</v>
    <v>197.595</v>
    <v>Renewable Energy</v>
    <v>Aktie</v>
    <v>13.412599999999999</v>
    <v>189</v>
    <v>46128.710698911716</v>
    <v>7900</v>
    <v>FIRST SOLAR, INC.</v>
    <v>189.76</v>
    <v>FIRST SOLAR, INC.</v>
    <v>195.4</v>
    <v>190.565</v>
    <v>195.2</v>
    <v>FSLR</v>
    <v>FIRST SOLAR, INC. (XNAS:FSLR)</v>
    <v>2003</v>
    <v>1253145</v>
    <v>1766305</v>
    <v>USD</v>
  </rv>
  <rv s="2">
    <v>592</v>
  </rv>
  <rv s="7">
    <v>de-DE</v>
    <v>bvaboc</v>
    <v>268435456</v>
    <v>1</v>
    <v>Unterstützt von Refinitiv</v>
    <v>20</v>
    <v>21</v>
    <v>BROOKFIELD RENEWABLE CORPORATION (XNYS:BEPC)</v>
    <v>3</v>
    <v>22</v>
    <v>Finance</v>
    <v>5</v>
    <v>45.18</v>
    <v>26.164999999999999</v>
    <v>-0.1</v>
    <v>-2.2899999999999999E-3</v>
    <v>180240000</v>
    <v>Brookfield Renewable Corp. betreibt Plattformen für erneuerbare Energien und nachhaltige Lösungen. Das Unternehmen verfügt über eine installierte Leistung von über 13.948 MW aus Wasserkraft, Windkraft, Solarenergie, Speicherkapazitäten und Zusatzkapazitäten in Brasilien, Kolumbien, Nordamerika und Europa. Zu seinen nachhaltigen Lösungen zählen unter anderem Investitionen in ein weltweit führendes Unternehmen für Nukleardienstleistungen und ein Portfolio von Investitionen in CO2-Abscheidung und -Speicherung, erneuerbares Erdgas aus landwirtschaftlichen Quellen, Materialrecycling und die Herstellung von eFuels. Das Unternehmen konzentriert sich auf die Strommärkte in den Vereinigten Staaten. Seine Wasserkraftkapazitäten in den Vereinigten Staaten befinden sich in New York, Pennsylvania und New England. In New York verfügt es über mehr als 74 Wasserkraftwerke, in Pennsylvania über vier Wasserkraftwerke und in New England über 48 Wasserkraftwerke. Über seine Tochtergesellschaft TerraForm Power verfügt es über ein vielfältiges Portfolio an Wind- und Solarplattformen in Kalifornien, Illinois, Texas und New York.</v>
    <v>1.2990999999999999</v>
    <v>7851254400</v>
    <v>New York Stock Exchange</v>
    <v>XNYS</v>
    <v>XNYS</v>
    <v>250 Vesey Street, 15Th Floor, NEW YORK, NY, 10281 US</v>
    <v>44.16</v>
    <v>Electrical Utilities &amp; IPPs</v>
    <v>Aktie</v>
    <v>192</v>
    <v>46128.710612256247</v>
    <v>2411</v>
    <v>BROOKFIELD RENEWABLE CORPORATION</v>
    <v>43.29</v>
    <v>BROOKFIELD RENEWABLE CORPORATION</v>
    <v>43.73</v>
    <v>43.56</v>
    <v>43.66</v>
    <v>BEPC</v>
    <v>BROOKFIELD RENEWABLE CORPORATION (XNYS:BEPC)</v>
    <v>2019</v>
    <v>206307</v>
    <v>1456455</v>
    <v>USD</v>
  </rv>
  <rv s="2">
    <v>594</v>
  </rv>
  <rv s="1">
    <v>de-DE</v>
    <v>afuhjc</v>
    <v>268435456</v>
    <v>1</v>
    <v>Unterstützt von Refinitiv</v>
    <v>0</v>
    <v>1</v>
    <v>Vestas Wind Systems A/S (XETR:VWSB)</v>
    <v>3</v>
    <v>32</v>
    <v>Finance</v>
    <v>7</v>
    <v>27.14</v>
    <v>11.335000000000001</v>
    <v>-0.56999999999999995</v>
    <v>-2.1135000000000001E-2</v>
    <v>1009867000</v>
    <v>VESTAS WIND SYSTEMS A/S ist ein in Dänemark ansässiges Unternehmen aus der Windkraftindustrie. Das Unternehmen agiert in zwei Segmenten, nämlich Projekt und Service. Das Projektsegment ist unter anderem für den Verkauf von Windkraftanlagen und Windenergieanlagen zuständig. Das Segment Service umfasst die Erbringung von Dienstleistungen im Zusammenhang mit dem Angebot des Unternehmens sowie den Verkauf von Ersatzteilen und sonstigen Aktivitäten. Die Produktlinie von Vestas Wind System umfasst 2 Megawatt (MW) und 3MW Energieerfassungsplattformen, die mit Eis-, Rauch- und Schattenerkennungssystemen ausgestattet sind. Das Leistungsspektrum besteht unter anderem aus datengesteuerten Beratungsleistungen, Flottenoptimierung, Klingenwartung und Inspektion, Stromerzeugerreparaturen und Getriebeaustausch.</v>
    <v>0.86529999999999996</v>
    <v>183812800000</v>
    <v>Xetra</v>
    <v>XETR</v>
    <v>XETR</v>
    <v>Hedeager 42, Aarhus N, 8200 DK</v>
    <v>27.14</v>
    <v>Renewable Energy</v>
    <v>Aktie</v>
    <v>34.388399999999997</v>
    <v>195</v>
    <v>46128.70034722222</v>
    <v>36973</v>
    <v>Vestas Wind Systems A/S</v>
    <v>26.23</v>
    <v>Vestas Wind Systems A/S</v>
    <v>27.09</v>
    <v>26.4</v>
    <v>26.97</v>
    <v>VWSB</v>
    <v>Vestas Wind Systems A/S (XETR:VWSB)</v>
    <v>1986</v>
    <v>35557</v>
    <v>3039730</v>
    <v>EUR</v>
  </rv>
  <rv s="2">
    <v>596</v>
  </rv>
  <rv s="1">
    <v>de-DE</v>
    <v>a22b77</v>
    <v>268435456</v>
    <v>1</v>
    <v>Unterstützt von Refinitiv</v>
    <v>0</v>
    <v>1</v>
    <v>SUNRUN INC. (XNAS:RUN)</v>
    <v>3</v>
    <v>4</v>
    <v>Finance</v>
    <v>5</v>
    <v>22.44</v>
    <v>5.38</v>
    <v>-0.28520000000000001</v>
    <v>-2.3570000000000001E-2</v>
    <v>234492400</v>
    <v>Sunrun Inc. Ist ein Anbieter von sauberer Energie als Subskriptionsdienst. Das Unternehmen beschäftigt sich mit der Planung, Entwicklung, Installation, dem Verkauf, dem Eigentum und der Wartung von Solaranlagen (Projekten) für Wohnzwecke in den Vereinigten Staaten. Sie liefert saubere, solare Energie, die normalerweise im Vergleich zu herkömmlicher Energie eingespart wird. Seine Hauptkunden sind Wohneigentümer. Darüber hinaus bietet das Unternehmen seinen Kunden in ausgewählten Märkten Batteriespeicher sowie Solarenergiesysteme an und verkauft seine Dienstleistungen an bestimmte kommerzielle Entwickler über seine Mehrfamilien- und Neubauangebote. Sie installiert Solarenergiesysteme in den Häusern ihrer Kunden und versorgt sie mit solarem Strom, der von diesen Systemen erzeugt wird, typischerweise für eine anfängliche Laufzeit von 20 oder 25 Jahren. Es überwacht, wartet und versichert das System während der Vertragslaufzeit. Darüber hinaus bietet das Unternehmen Ladegeräte für Elektrofahrzeuge, Nachrüstungen für Batterien, Systeme zur Wiederankurbelung oder Erweiterung, Dienstleistungen für das Energiemanagement für Haushalte und andere Produkte zur Elektrifizierung von Haushalten.</v>
    <v>2.3245</v>
    <v>2770480807</v>
    <v>Nasdaq Stock Market</v>
    <v>XNAS</v>
    <v>XNAS</v>
    <v>600 California Street, Suite 1800, SAN FRANCISCO, CA, 94108 US</v>
    <v>12.33</v>
    <v>Renewable Energy</v>
    <v>Aktie</v>
    <v>6.9132999999999996</v>
    <v>198</v>
    <v>46128.710781296097</v>
    <v>9059</v>
    <v>SUNRUN INC.</v>
    <v>11.67</v>
    <v>SUNRUN INC.</v>
    <v>12.25</v>
    <v>11.8148</v>
    <v>12.1</v>
    <v>RUN</v>
    <v>SUNRUN INC. (XNAS:RUN)</v>
    <v>2008</v>
    <v>6502285</v>
    <v>8226899</v>
    <v>USD</v>
  </rv>
  <rv s="2">
    <v>598</v>
  </rv>
  <rv s="1">
    <v>de-DE</v>
    <v>a269ec</v>
    <v>268435456</v>
    <v>1</v>
    <v>Unterstützt von Refinitiv</v>
    <v>0</v>
    <v>1</v>
    <v>EXXON MOBIL CORPORATION (XNYS:XOM)</v>
    <v>3</v>
    <v>4</v>
    <v>Finance</v>
    <v>5</v>
    <v>176.41</v>
    <v>101.185</v>
    <v>3.28</v>
    <v>2.2012E-2</v>
    <v>4156560000</v>
    <v>Die Exxon Mobil Corporation ist ein Energieversorger und Chemikalienhersteller. Das Hauptgeschäft des Unternehmens umfasst die Exploration und Produktion von Rohöl und Erdgas, die Herstellung, den Handel, den Transport und den Verkauf von Rohöl, Erdgas, Erdölprodukten, Petrochemikalien und einer Vielzahl von Spezialprodukten sowie die Verfolgung emissionsärmerer und anderer neuer Geschäftsmöglichkeiten, einschließlich Kohlenstoffabscheidung und -Speicherung, Wasserstoff, emissionsärmere Kraftstoffe, Proxxima-Systeme, Kohlenstoffmaterialien, und Lithium. Das Upstream-Segment erforscht und produziert Rohöl und Erdgas. In den Segmenten Energieprodukte, chemische Produkte und Spezialprodukte werden Erdölprodukte und Petrochemikalien hergestellt und verkauft. Das Segment Energieprodukte umfasst Kraftstoffe, Aromaten und Katalysatoren sowie Lizenzen. Das Segment der chemischen Produkte besteht aus Olefinen, Polyolefinen und Zwischenprodukten. Das Segment Spezialprodukte umfasst fertige Schmiermittel, Grundschmierstoffe und Wachse, Kunststoffe sowie Elastomere und Harze.</v>
    <v>0.19969999999999999</v>
    <v>633002522400</v>
    <v>New York Stock Exchange</v>
    <v>XNYS</v>
    <v>XNYS</v>
    <v>22777 SPRINGWOODS VILLAGE PARKWAY, SPRING, TX, 77389-1425 US</v>
    <v>152.48990000000001</v>
    <v>Oil &amp; Gas</v>
    <v>Aktie</v>
    <v>22.796199999999999</v>
    <v>201</v>
    <v>46128.710815810155</v>
    <v>58000</v>
    <v>EXXON MOBIL CORPORATION</v>
    <v>149.345</v>
    <v>EXXON MOBIL CORPORATION</v>
    <v>149.63</v>
    <v>152.29</v>
    <v>149.01</v>
    <v>XOM</v>
    <v>EXXON MOBIL CORPORATION (XNYS:XOM)</v>
    <v>1882</v>
    <v>6573468</v>
    <v>24930259</v>
    <v>USD</v>
  </rv>
  <rv s="2">
    <v>600</v>
  </rv>
  <rv s="1">
    <v>de-DE</v>
    <v>a1qlnm</v>
    <v>268435456</v>
    <v>1</v>
    <v>Unterstützt von Refinitiv</v>
    <v>0</v>
    <v>1</v>
    <v>CVS HEALTH CORPORATION (XNYS:CVS)</v>
    <v>3</v>
    <v>4</v>
    <v>Finance</v>
    <v>5</v>
    <v>85.15</v>
    <v>58.35</v>
    <v>0.45</v>
    <v>6.0009999999999994E-3</v>
    <v>1281604000</v>
    <v>CVS Health Corporation ist ein Anbieter von Gesundheitslösungen. Die Unternehmenssegmente umfassen Krankenversicherungsleistungen, Gesundheitsdienste, Apotheken- und Verbrauchergesundheit sowie Unternehmen/Sonstiges. Das Segment Krankenversicherungsleistungen bietet eine Reihe von traditionellen, freiwilligen und verbraucherorientierten Krankenversicherungsprodukten und damit verbundenen Dienstleistungen an, darunter Kranken-, Apotheken-, Zahn- und Psychotherapiepläne, medizinisches Management, PDPs und Medicaid-Gesundheitsmanagementdienste. Das Segment Gesundheitsdienste bietet ein umfassendes Spektrum an PBM-Lösungen, erbringt Gesundheitsdienstleistungen in seinen medizinischen Kliniken, virtuell und zu Hause und bietet Lösungen zur Leistungserbringung. Das Segment Apotheken- und Verbrauchergesundheit gibt Rezepte in seinen Apotheken und über seine Infusionsbetriebe aus, bietet ergänzende Apothekendienstleistungen an, darunter Apotheken-Patientenversorgungsprogramme, diagnostische Tests und Impfverabreichung, und vertreibt eine Auswahl an Gesundheits- und Wellnessprodukten sowie Handelswaren.</v>
    <v>0.51259999999999994</v>
    <v>96684205760</v>
    <v>New York Stock Exchange</v>
    <v>XNYS</v>
    <v>XNYS</v>
    <v>One Cvs Dr., WOONSOCKET, RI, 02895 US</v>
    <v>75.897000000000006</v>
    <v>Healthcare Providers &amp; Services</v>
    <v>Aktie</v>
    <v>55.166400000000003</v>
    <v>204</v>
    <v>46128.710786122654</v>
    <v>300000</v>
    <v>CVS HEALTH CORPORATION</v>
    <v>74.780100000000004</v>
    <v>CVS HEALTH CORPORATION</v>
    <v>74.83</v>
    <v>75.44</v>
    <v>74.989999999999995</v>
    <v>CVS</v>
    <v>CVS HEALTH CORPORATION (XNYS:CVS)</v>
    <v>1996</v>
    <v>4516406</v>
    <v>7465274</v>
    <v>USD</v>
  </rv>
  <rv s="2">
    <v>602</v>
  </rv>
  <rv s="1">
    <v>de-DE</v>
    <v>a21t52</v>
    <v>268435456</v>
    <v>1</v>
    <v>Unterstützt von Refinitiv</v>
    <v>0</v>
    <v>1</v>
    <v>SHELL PLC (XNYS:SHEL)</v>
    <v>3</v>
    <v>4</v>
    <v>Finance</v>
    <v>5</v>
    <v>94.9</v>
    <v>63.77</v>
    <v>1.59</v>
    <v>1.7698000000000002E-2</v>
    <v>2811611000</v>
    <v>Shell plc ist ein internationales Energieunternehmen, das sich mit den wichtigsten Aspekten der Energie- und petrochemischen Industrie befasst. Zu den Segmenten des Unternehmens gehören integriertes Gas, Upstream, Marketing, Chemikalien und Produkte, erneuerbare Energien und Energielösungen sowie Corporate. Das Segment Integrated Gas umfasst Flüssigerdgas (LNG), die Umwandlung von Erdgas in Gas-to-Liquid-Brennstoffe (GTL) und andere Produkte. Dazu gehören die Exploration und Gewinnung von Erdgas und Flüssigkeiten sowie der Betrieb der vor- und Mittelstrominfrastruktur. Das Upstream-Segment umfasst die Exploration und Gewinnung von Rohöl, Erdgas und Erdgasflüssigkeiten. Außerdem vermarktet und befördert sie Öl und Gas und betreibt die Infrastruktur, die für ihre Bereitstellung auf dem Markt erforderlich ist. Das Segment Marketing umfasst die Geschäftsbereiche Mobilität, Schmiermittel und Sektoren &amp; Dekarbonisierung. Das Segment Chemikalien und Produkte umfasst Chemikalienfabriken mit eigenem Marketing-Netzwerk sowie Raffinerien.</v>
    <v>7.7399999999999997E-2</v>
    <v>257065593730</v>
    <v>New York Stock Exchange</v>
    <v>XNYS</v>
    <v>XNYS</v>
    <v>Shell Centre, 2 York Road, LONDON, SE1 7NA GB</v>
    <v>91.635000000000005</v>
    <v>Oil &amp; Gas</v>
    <v>Aktie</v>
    <v>15.2424</v>
    <v>207</v>
    <v>46128.710818760941</v>
    <v>85000</v>
    <v>SHELL PLC</v>
    <v>90.55</v>
    <v>SHELL PLC</v>
    <v>90.58</v>
    <v>91.43</v>
    <v>89.84</v>
    <v>SHEL</v>
    <v>SHELL PLC (XNYS:SHEL)</v>
    <v>2002</v>
    <v>2704962</v>
    <v>8021675</v>
    <v>USD</v>
  </rv>
  <rv s="2">
    <v>604</v>
  </rv>
  <rv s="1">
    <v>de-DE</v>
    <v>ao6nk2</v>
    <v>268435456</v>
    <v>1</v>
    <v>Unterstützt von Refinitiv</v>
    <v>0</v>
    <v>1</v>
    <v>BP P.L.C. (XLON:BP.)</v>
    <v>3</v>
    <v>33</v>
    <v>Finance</v>
    <v>34</v>
    <v>609.4</v>
    <v>337.65</v>
    <v>21.9</v>
    <v>3.8961000000000003E-2</v>
    <v>15700880000</v>
    <v>BP p.l.c. ist ein im Vereinigten Königreich ansässiges integriertes Energieunternehmen. Zu den Segmenten des Unternehmens gehören Gas und kohlenstoffarme Energie, Erdölproduktion und -Betrieb, Kunden und Produkte sowie andere Geschäftsbereiche und Unternehmen. Das Gasgeschäft umfasst Regionen mit vorgelagerten Aktivitäten, die Erdgas, integriertes Gas und Strom sowie Gashandel erzeugen. Sein kohlenstoffarmes Geschäft umfasst Solar-, Offshore- und Onshore-Windenergie, Wasserstoff- und Kohlenstoffabscheidung sowie -Speicherung und -Handel. Das Segment Ölproduktion &amp; -Betrieb umfasst Regionen mit vorgelagerten Aktivitäten, die vorwiegend Rohöl produzieren, einschließlich bpx Energy. Das Segment Kunden &amp; Produkte umfasst seine kundenorientierten Geschäftsbereiche, zu denen Convenience- und Einzelhandelskraftstoffe, die Aufladung von Elektrofahrzeugen sowie Castrol, Luftfahrt und Business-to-Business und Midstream gehören. Dazu gehören auch die Produktsparten, die Raffinerie und der Ölhandel sowie die Bioenergiebranchen. Andere Geschäftsbereiche und Unternehmenssegmente umfassen Technologie und bp Ventures.</v>
    <v>0.43759999999999999</v>
    <v>68411480000</v>
    <v>London Stock Exchange</v>
    <v>XLON</v>
    <v>XLON</v>
    <v>1 St James's Square, LONDON, SW1Y 4PD GB</v>
    <v>584</v>
    <v>Oil &amp; Gas</v>
    <v>Aktie</v>
    <v>29075</v>
    <v>210</v>
    <v>46128.642427082814</v>
    <v>93700</v>
    <v>BP P.L.C.</v>
    <v>561.79999999999995</v>
    <v>BP P.L.C.</v>
    <v>563</v>
    <v>584</v>
    <v>562.1</v>
    <v>BP.</v>
    <v>BP P.L.C. (XLON:BP.)</v>
    <v>1909</v>
    <v>30971460</v>
    <v>57114770</v>
    <v>GBp</v>
  </rv>
  <rv s="2">
    <v>606</v>
  </rv>
  <rv s="1">
    <v>de-DE</v>
    <v>a24e9c</v>
    <v>268435456</v>
    <v>1</v>
    <v>Unterstützt von Refinitiv</v>
    <v>0</v>
    <v>1</v>
    <v>TotalEnergies SE (XNYS:TTE)</v>
    <v>3</v>
    <v>4</v>
    <v>Finance</v>
    <v>5</v>
    <v>93.49</v>
    <v>62.155000000000001</v>
    <v>3.68</v>
    <v>4.2270000000000002E-2</v>
    <v>2188400000</v>
    <v>Die TotalEnergies SE ist ein in Frankreich ansässiges Unternehmen. Das Unternehmen ist vorwiegend als weltweiter Ölkonzern tätig. Die Segmentbereiche gliedern sich in Raffinerie und Chemie wie Raffination von Erdölprodukten und Herstellung von Grundchemie und Spezialchemie, Vertrieb von Erdölprodukten, Stromerzeugung aus kombinierten Gasanlagen und erneuerbaren Energien, Gasproduktion, Handel, Transport und Vertrieb umfasst in erster Linie Flüssigerdgas, Erdgas, Biogas, Wasserstoff, Flüssiggas sowie Betrieb und Produktion von Kohlenwasserstoffen. Die Gruppe ist auch im Handel und im Seeverkehr mit Rohöl und Erdölerzeugnissen tätig.</v>
    <v>0.2273</v>
    <v>198575416000</v>
    <v>New York Stock Exchange</v>
    <v>XNYS</v>
    <v>XNYS</v>
    <v>Tour Coupole - 2, place Jean Millier, Paris La Defense Cedex, PARIS, ILE-DE-FRANCE, 92078 FR</v>
    <v>91.22</v>
    <v>Oil &amp; Gas</v>
    <v>Aktie</v>
    <v>15.537699999999999</v>
    <v>213</v>
    <v>46128.710713367967</v>
    <v>102887</v>
    <v>TotalEnergies SE</v>
    <v>90.040099999999995</v>
    <v>TotalEnergies SE</v>
    <v>90.3</v>
    <v>90.74</v>
    <v>87.06</v>
    <v>TTE</v>
    <v>TotalEnergies SE (XNYS:TTE)</v>
    <v>1954</v>
    <v>1497275</v>
    <v>2562406</v>
    <v>USD</v>
  </rv>
  <rv s="2">
    <v>608</v>
  </rv>
  <rv s="1">
    <v>de-DE</v>
    <v>a1q5nm</v>
    <v>268435456</v>
    <v>1</v>
    <v>Unterstützt von Refinitiv</v>
    <v>0</v>
    <v>1</v>
    <v>CONOCOPHILLIPS (XNYS:COP)</v>
    <v>3</v>
    <v>4</v>
    <v>Finance</v>
    <v>5</v>
    <v>135.87</v>
    <v>84.28</v>
    <v>2.5150000000000001</v>
    <v>2.1149000000000001E-2</v>
    <v>1218853000</v>
    <v>ConocoPhillips ist ein Explorations- und Produktionsunternehmen. Das Segment Alaska umfasst in erster Linie die Erkundung, Förderung, den Transport und die Vermarktung von Erdöl, Erdgas und NGL. Das Segment Lower 48 besteht aus Betrieben in den 48 zusammenhängenden Bundesstaaten der Vereinigten Staaten und im Golf von Mexiko. Die kanadischen Aktivitäten bestehen aus der Erschließung der Surmont-Ölsandvorkommen in Alberta, dem flüssigkeitsreichen unkonventionellen Montney-Vorkommen in British Columbia und den kommerziellen Aktivitäten. Das Segment Europa, Naher Osten und Nordafrika besteht aus Betrieben, die hauptsächlich im norwegischen Teil der Nordsee, in der Norwegischen See, in Katar, Libyen und Äquatorialguinea angesiedelt sind, sowie aus kommerziellen Betrieben und Terminals im Vereinigten Königreich. Das Segment Asien-Pazifik umfasst Explorations- und Produktionsaktivitäten in China, Malaysia und Australien sowie kommerzielle Aktivitäten in China, Singapur und Japan. Das Segment Sonstiges Ausland umfasst Beteiligungen in Kolumbien sowie Eventualverbindlichkeiten im Zusammenhang mit früheren Tätigkeiten in anderen Ländern.</v>
    <v>0.14130000000000001</v>
    <v>148011414055</v>
    <v>New York Stock Exchange</v>
    <v>XNYS</v>
    <v>XNYS</v>
    <v>925 N. Eldridge Parkway, HOUSTON, TX, 77079-2703 US</v>
    <v>122.435</v>
    <v>Oil &amp; Gas</v>
    <v>Aktie</v>
    <v>19.174700000000001</v>
    <v>216</v>
    <v>46128.710822916408</v>
    <v>9900</v>
    <v>CONOCOPHILLIPS</v>
    <v>119.37</v>
    <v>CONOCOPHILLIPS</v>
    <v>119.58</v>
    <v>121.435</v>
    <v>118.92</v>
    <v>COP</v>
    <v>CONOCOPHILLIPS (XNYS:COP)</v>
    <v>2001</v>
    <v>3165555</v>
    <v>10366211</v>
    <v>USD</v>
  </rv>
  <rv s="2">
    <v>610</v>
  </rv>
  <rv s="1">
    <v>de-DE</v>
    <v>a1wyu2</v>
    <v>268435456</v>
    <v>1</v>
    <v>Unterstützt von Refinitiv</v>
    <v>0</v>
    <v>1</v>
    <v>ELI LILLY AND COMPANY (XNYS:LLY)</v>
    <v>3</v>
    <v>4</v>
    <v>Finance</v>
    <v>5</v>
    <v>1133.95</v>
    <v>623.78</v>
    <v>-2.395</v>
    <v>-2.6459999999999999E-3</v>
    <v>944818900</v>
    <v>Eli Lilly and Company ist ein Medizinunternehmen, das Produkte im Segment Human-Pharma-Produkte entdeckt, entwickelt, herstellt und vermarktet. Zu den kardiometabolischen Gesundheitsprodukten gehören Basaglar; Humalog, Humalog Mix 75/25, Humalog U-100, Humalog U-200, Humalog Mix 50/50, Insulin lispro und andere; Humulin, Humulin 70/30, und andere; Jardiance; Mounjaro; Trulicity; Zepbound; VERVE-102; VERVE-201 UND VERVE-301. Zu den onkologischen Produkten zählen Cyramza, Erbitux, Tyvyt und Verzenio. Zu den Immunologieprodukten gehören Ebglyss, Olumiant, Omvoh und Taltz. Zu den neurowissenschaftlichen Produkten gehören Emgality und Kisunla. Das Unternehmen ist über seine Tochtergesellschaft POINT Biopharma Global Inc. In der Erforschung, Entwicklung und Herstellung von radioaktiven Arzneimitteln sowie in der Entwicklung klinischer und präklinischer Radioligand-Therapien für die Krebsbehandlung tätig. Es entwickelt auch einen oralen niedermolekularen Inhibitor von a4b7 Integrin für entzündliche Darmerkrankungen (IBD).</v>
    <v>0.48549999999999999</v>
    <v>852826607801</v>
    <v>New York Stock Exchange</v>
    <v>XNYS</v>
    <v>XNYS</v>
    <v>Lilly Corporate Ctr, Drop Code 1094, INDIANAPOLIS, IN, 46285 US</v>
    <v>920</v>
    <v>Pharmaceuticals</v>
    <v>Aktie</v>
    <v>39.319200000000002</v>
    <v>222</v>
    <v>46128.710816550782</v>
    <v>50000</v>
    <v>ELI LILLY AND COMPANY</v>
    <v>898.15</v>
    <v>ELI LILLY AND COMPANY</v>
    <v>911.48</v>
    <v>902.63499999999999</v>
    <v>905.03</v>
    <v>LLY</v>
    <v>ELI LILLY AND COMPANY (XNYS:LLY)</v>
    <v>1901</v>
    <v>1297307</v>
    <v>2870940</v>
    <v>USD</v>
  </rv>
  <rv s="2">
    <v>612</v>
  </rv>
  <rv s="1">
    <v>de-DE</v>
    <v>a1yvxm</v>
    <v>268435456</v>
    <v>1</v>
    <v>Unterstützt von Refinitiv</v>
    <v>0</v>
    <v>1</v>
    <v>Novo Nordisk A/S (XNYS:NVO)</v>
    <v>3</v>
    <v>4</v>
    <v>Finance</v>
    <v>5</v>
    <v>81.44</v>
    <v>35.119999999999997</v>
    <v>-0.03</v>
    <v>-7.3510000000000003E-4</v>
    <v>3390128000</v>
    <v>Novo Nordisk A/S ist ein Unternehmen im Gesundheitssektor. Das Unternehmen ist in der Entdeckung, Entwicklung, Herstellung und Vermarktung von pharmazeutischen Produkten tätig. Geschäftssegmente des Unternehmens sind Diabetes- und Adipositas-Pflege sowie Biopharmazeutika. Das Segment Diabetes- und Adipositas-Pflege umfasst Insuline, glukagonartiges Peptid 1 (GLP-1), andere mit Protein verwandte Produkte (z. B. Glukagon, proteinbezogene Verabreichungssysteme und Nadeln), orale Antidiabetika und Fettleibigkeit. Das Segment Biopharmazeutika umfasst die Therapiegebiete Hämophilie-Versorgung, Therapie mit Wachstumshormonen und Hormonersatz-Therapie. Es bietet eine Reihe von Diabetesprodukten, einschließlich Insulinen der neuen Generation und ein Sortiment an modernem Insulin an. Es liefert Saxenda, ein Produkt zur Behandlung von Fettleibigkeit, das in Dänemark, Italien und Kanada erhältlich ist. Zu seinen sonstigen Produkten/Verbindungen gehören Xultophy, Semaglutid (NN9535), schneller wirkendes Insulin Aspart (NN1218), N9-GP (NN7999), N8-GP (NN7088) und NN8640 einmal wöchentlich menschliches Wachstumshormon.</v>
    <v>0.75329999999999997</v>
    <v>138249419840</v>
    <v>New York Stock Exchange</v>
    <v>XNYS</v>
    <v>XNYS</v>
    <v>Novo Alle 1, BAGSVAERD, 2880 DK</v>
    <v>41.41</v>
    <v>Pharmaceuticals</v>
    <v>Aktie</v>
    <v>11.2599</v>
    <v>225</v>
    <v>46128.710795404688</v>
    <v>68794</v>
    <v>Novo Nordisk A/S</v>
    <v>40.234999999999999</v>
    <v>Novo Nordisk A/S</v>
    <v>41.25</v>
    <v>40.78</v>
    <v>40.81</v>
    <v>NVO</v>
    <v>Novo Nordisk A/S (XNYS:NVO)</v>
    <v>1931</v>
    <v>10835492</v>
    <v>16453103</v>
    <v>USD</v>
  </rv>
  <rv s="2">
    <v>614</v>
  </rv>
  <rv s="1">
    <v>de-DE</v>
    <v>a1zqnm</v>
    <v>268435456</v>
    <v>1</v>
    <v>Unterstützt von Refinitiv</v>
    <v>0</v>
    <v>1</v>
    <v>PFIZER INC. (XNYS:PFE)</v>
    <v>3</v>
    <v>4</v>
    <v>Finance</v>
    <v>5</v>
    <v>28.745000000000001</v>
    <v>21.87</v>
    <v>0.05</v>
    <v>1.8390000000000001E-3</v>
    <v>5688356000</v>
    <v>Pfizer Inc. Ist ein forschungsbasiertes, globales biopharmazeutisches Unternehmen. Das Unternehmen beschäftigt sich mit der Entdeckung, Entwicklung, Herstellung, Vermarktung, dem Verkauf und dem Vertrieb biopharmazeutischer Produkte weltweit. Das Segment Biopharma umfasst die Pfizer U.S. Commercial Division und die Pfizer International Commercial Division. Zu den Produktkategorien gehören Onkologie, Primärversorgung und Spezialpflege. Zu den onkologischen Produkten gehören Ibrance, Xtandi, Padcev, Adcetris, Inlyta, Lorbrena, Bosulif, Tukysa, Braftovi, Mektovi, Orgovyx, Elrexfio, Tivdak und Talzenna. Zu den primären Pflegeprodukten gehören Eliquis, Nurtec ODT/Vydura, Zavzpret, die Familie Prevnar, Comirnaty, Abrysvo, FSME/IMMUN-TicoVac, Nimenrix, Trumenba und Paxlovid. Zu den Spezialpflegeprodukten gehören Xeljanz, Enbrel (außerhalb der Vereinigten Staaten und Kanadas), Inflectra, Abrilada, Cibinqo, Litfulo, Eucrisa, Velsipity, Familie Vyndaqel, Genotropin, BeneFIX, Xyntha, Somavert, Ngenla, Hympavzi, Sulperazon, Zavicefta, Octagam und andere.</v>
    <v>0.3382</v>
    <v>154950817440</v>
    <v>New York Stock Exchange</v>
    <v>XNYS</v>
    <v>XNYS</v>
    <v>66 HUDSON BOULEVARD EAST, NEW YORK, NY, 10001-2192 US</v>
    <v>27.48</v>
    <v>Pharmaceuticals</v>
    <v>Aktie</v>
    <v>20.09</v>
    <v>228</v>
    <v>46128.710826284376</v>
    <v>75000</v>
    <v>PFIZER INC.</v>
    <v>27.16</v>
    <v>PFIZER INC.</v>
    <v>27.16</v>
    <v>27.24</v>
    <v>27.19</v>
    <v>PFE</v>
    <v>PFIZER INC. (XNYS:PFE)</v>
    <v>1942</v>
    <v>10669136</v>
    <v>38555986</v>
    <v>USD</v>
  </rv>
  <rv s="2">
    <v>616</v>
  </rv>
  <rv s="1">
    <v>de-DE</v>
    <v>a1xxmw</v>
    <v>268435456</v>
    <v>1</v>
    <v>Unterstützt von Refinitiv</v>
    <v>0</v>
    <v>1</v>
    <v>MERCK &amp; CO., INC. (XNYS:MRK)</v>
    <v>3</v>
    <v>4</v>
    <v>Finance</v>
    <v>5</v>
    <v>125.14</v>
    <v>73.31</v>
    <v>-2.48</v>
    <v>-2.1034999999999998E-2</v>
    <v>2469879000</v>
    <v>Merck &amp; Co., Inc. Ist ein weltweit tätiges Gesundheitsunternehmen, das Gesundheitslösungen über seine verschreibungspflichtigen Medikamente, einschließlich biologischer Therapien, Impfstoffe und Tiergesundheitsprodukte, anbietet. Das Segment Pharma umfasst pharmazeutische Produkte und Impfstoffe für die menschliche Gesundheit. Das Unternehmen verkauft seine pharmazeutischen Produkte für die menschliche Gesundheit in erster Linie an Arzneimittelgroßhändler und -Einzelhändler, Krankenhäuser, Regierungsbehörden und Anbieter von Managed Health Care. Es verkauft diese Impfstoffe für die menschliche Gesundheit in erster Linie an Ärzte, Großhändler, Händler und Regierungsstellen. Das Segment Animal Health entdeckt, entwickelt, produziert und vermarktet eine Reihe von tierärztlichen pharmazeutischen und Impfstoffen sowie Lösungen und Dienstleistungen für das Gesundheitsmanagement zur Prävention, Behandlung und Bekämpfung von Krankheiten bei allen Nutztieren und Haustierarten. Zu den Produkten gehören KEYTRUDA (Pembrolizumab) Injektion zur intravenösen Anwendung, WELIREG (Belzutifan) Tabletten zum Einnehmen, Ohtuvayre (Ensifentrin) und andere.</v>
    <v>0.2742</v>
    <v>285073434180</v>
    <v>New York Stock Exchange</v>
    <v>XNYS</v>
    <v>XNYS</v>
    <v>126 East Lincoln Avenue, P.O. Box 2000, RAHWAY, NJ, 07065 US</v>
    <v>117.845</v>
    <v>Pharmaceuticals</v>
    <v>Aktie</v>
    <v>15.8629</v>
    <v>231</v>
    <v>46128.710823622656</v>
    <v>75000</v>
    <v>MERCK &amp; CO., INC.</v>
    <v>114.71</v>
    <v>MERCK &amp; CO., INC.</v>
    <v>117.13</v>
    <v>115.42</v>
    <v>117.9</v>
    <v>MRK</v>
    <v>MERCK &amp; CO., INC. (XNYS:MRK)</v>
    <v>1970</v>
    <v>4830421</v>
    <v>9477774</v>
    <v>USD</v>
  </rv>
  <rv s="2">
    <v>618</v>
  </rv>
  <rv s="1">
    <v>de-DE</v>
    <v>a297qh</v>
    <v>268435456</v>
    <v>1</v>
    <v>Unterstützt von Refinitiv</v>
    <v>0</v>
    <v>1</v>
    <v>ASTRAZENECA PLC (XNYS:AZN)</v>
    <v>3</v>
    <v>39</v>
    <v>Finance</v>
    <v>5</v>
    <v>212.71</v>
    <v>129.15</v>
    <v>-1.05</v>
    <v>-5.2180000000000004E-3</v>
    <v>1550989000</v>
    <v>AstraZeneca Plc ist ein wissenschaftlich geführtes biopharmazeutisches Unternehmen mit Sitz in Großbritannien. Das Unternehmen konzentriert sich auf die Entdeckung, Entwicklung und Vermarktung von verschreibungspflichtigen Arzneimitteln. Das Unternehmen ist in verschiedenen Therapiebereichen tätig, darunter Onkologie, kardiovaskuläre Erkrankungen, Nieren und Metabolismus (CVRM), Atemwege und Immunologie (F&amp;I), Impfstoffe und Immuntherapien (V&amp;I) sowie seltene Erkrankungen. Zu den wichtigsten Produkten im Bereich Onkologie zählen Tagrisso, Imfinzi, Calquence, Lynparza und Enhertu. Zu den wichtigsten Produkten des CVRM-Bereichs gehören Farxiga/Forxiga, Brilinta/Brilique, Crestor und Lokelma. Im FuI-Bereich sind die wichtigsten Produkte Symbicort, Fasenra, Breztri/Trixeo und Tezspire. Im Bereich V&amp;I Therapies sind die Produkte Beyfortus und FluMist. Die Produkte im Bereich der seltenen Krankheiten sind Ultomiris, Soliris, Strensiq und Koselugo. Es hat etwa 191 Projekte in seiner Entwicklungspipeline, darunter 19 neue molekulare Einheiten (NMEs) in der Spätphase. Das Unternehmen vertreibt seine Produkte in über 125 Ländern.</v>
    <v>0.89959999999999996</v>
    <v>292233202140</v>
    <v>New York Stock Exchange</v>
    <v>XNYS</v>
    <v>XNYS</v>
    <v>1 Francis Crick Avenue, Cambridge Biomedical Campus, CAMBRIDGE, CB2 0AA GB</v>
    <v>201.79</v>
    <v>Pharmaceuticals</v>
    <v>Aktie</v>
    <v>30.324100000000001</v>
    <v>237</v>
    <v>46128.710759328125</v>
    <v>96100</v>
    <v>ASTRAZENECA PLC</v>
    <v>199.99</v>
    <v>ASTRAZENECA PLC</v>
    <v>201.51</v>
    <v>200.16</v>
    <v>201.21</v>
    <v>AZN</v>
    <v>ASTRAZENECA PLC (XNYS:AZN)</v>
    <v>1992</v>
    <v>699387</v>
    <v>1860633</v>
    <v>USD</v>
  </rv>
  <rv s="2">
    <v>620</v>
  </rv>
  <rv s="1">
    <v>de-DE</v>
    <v>a1ook2</v>
    <v>268435456</v>
    <v>1</v>
    <v>Unterstützt von Refinitiv</v>
    <v>0</v>
    <v>1</v>
    <v>BRISTOL-MYERS SQUIBB COMPANY (XNYS:BMY)</v>
    <v>3</v>
    <v>4</v>
    <v>Finance</v>
    <v>5</v>
    <v>62.886400000000002</v>
    <v>42.52</v>
    <v>0.39500000000000002</v>
    <v>6.8230000000000001E-3</v>
    <v>2041735000</v>
    <v>Bristol-Myers Squibb Company ist ein globales biopharmazeutisches Unternehmen. Es beschäftigt sich mit der Entdeckung, Entwicklung und Lieferung von Transformationsmedikamenten für Patienten mit schweren Erkrankungen in folgenden Bereichen: Onkologie, Hämatologie, Immunologie, Herz-Kreislauf-Erkrankungen, Neurowissenschaften und anderen Bereichen. Sein Wachstumsportfolio umfasst Opdivo (Nivolumab), Opdivo Qvantig (Nivolumab und Hyaluronidase-nvhy), Yervoy (Ipilimumab), Reblozyl (luspatercept-aamt), Opdualag (Nivolumab und relatlimab-rmbw), Breyanzi (lisocabtagene maraleucel), Camzanicadav), Aidecabazav) und Sotyktu (Deucravacitinib). Zu den weiteren Wachstumsprodukten gehören Onureg, Inrebic und Empliciti. Das bisherige Portfolio umfasst Eliquis (Apixaban), Revlimid (Lenalidomid), Pomalyst/Imnovid (Pomalidomid), Sprycel (Dasatinib) und Abraxane (Paclitaxel-Albumin-gebundene Partikel zur Herstellung einer injizierbaren Suspension). OPDIVO (Nivolumab) ist ein vollständig humaner monoklonaler Antikörper, der an das PD-1 auf T- und NKT-Zellen bindet.</v>
    <v>0.245</v>
    <v>119002524475</v>
    <v>New York Stock Exchange</v>
    <v>XNYS</v>
    <v>XNYS</v>
    <v>Route 206 And Province Line Road, PRINCETON, NJ, 08543 US</v>
    <v>58.664999999999999</v>
    <v>Pharmaceuticals</v>
    <v>Aktie</v>
    <v>16.879000000000001</v>
    <v>240</v>
    <v>46128.710847534378</v>
    <v>32500</v>
    <v>BRISTOL-MYERS SQUIBB COMPANY</v>
    <v>57.66</v>
    <v>BRISTOL-MYERS SQUIBB COMPANY</v>
    <v>57.66</v>
    <v>58.284999999999997</v>
    <v>57.89</v>
    <v>BMY</v>
    <v>BRISTOL-MYERS SQUIBB COMPANY (XNYS:BMY)</v>
    <v>1933</v>
    <v>2242750</v>
    <v>12533147</v>
    <v>USD</v>
  </rv>
  <rv s="2">
    <v>622</v>
  </rv>
  <rv s="1">
    <v>de-DE</v>
    <v>a21uim</v>
    <v>268435456</v>
    <v>1</v>
    <v>Unterstützt von Refinitiv</v>
    <v>0</v>
    <v>1</v>
    <v>REGENERON PHARMACEUTICALS, INC. (XNAS:REGN)</v>
    <v>3</v>
    <v>4</v>
    <v>Finance</v>
    <v>5</v>
    <v>821.11</v>
    <v>476.48689999999999</v>
    <v>-4.21</v>
    <v>-5.5840000000000004E-3</v>
    <v>105719800</v>
    <v>Regeneron Pharmaceuticals, Inc. ist ein voll integriertes Biotechnologieunternehmen. Das Unternehmen erfindet, entwickelt, produziert und vermarktet Medikamente für Menschen mit schweren Krankheiten. Seine Produkte und Produktkandidaten in der Entwicklung sollen Patienten mit Augenerkrankungen, allergischen und entzündlichen Erkrankungen, Krebs, Herz-Kreislauf- und Stoffwechselerkrankungen, neurologischen Erkrankungen, hämatologischen Erkrankungen, Infektionskrankheiten und seltenen Krankheiten helfen. Das Unternehmen beschleunigt die Entwicklung von Medikamenten durch den Einsatz seiner firmeneigenen Technologien, wie z.B. VelociSuite, die optimierte vollständig menschliche Antikörper und neue Klassen bispezifischer Antikörper produziert. VelociSuite besteht aus VelocImmune, VelociGene, VelociMouse, VelociMab, Veloci-Bi, VelociT, VelociHum und anderen verwandten Technologien. Zu den vermarkteten Produkten gehören EYLEA (Aflibercept); Dupixent (Dupilumab); Libtayo (Cemiplimab); Ordspono (Odronextamab); Kevzara (Sarilumab); Itepekimab; Linvoseltamab und andere.</v>
    <v>0.36559999999999998</v>
    <v>79260248456</v>
    <v>Nasdaq Stock Market</v>
    <v>XNAS</v>
    <v>XNAS</v>
    <v>777 Old Saw Mill River Road, TARRYTOWN, NY, 10591 US</v>
    <v>755.64</v>
    <v>Pharmaceuticals</v>
    <v>Aktie</v>
    <v>17.866199999999999</v>
    <v>243</v>
    <v>46128.710702835153</v>
    <v>15410</v>
    <v>REGENERON PHARMACEUTICALS, INC.</v>
    <v>746.4</v>
    <v>REGENERON PHARMACEUTICALS, INC.</v>
    <v>749.56</v>
    <v>749.72</v>
    <v>753.93</v>
    <v>REGN</v>
    <v>REGENERON PHARMACEUTICALS, INC. (XNAS:REGN)</v>
    <v>1988</v>
    <v>139116</v>
    <v>616533</v>
    <v>USD</v>
  </rv>
  <rv s="2">
    <v>624</v>
  </rv>
  <rv s="1">
    <v>de-DE</v>
    <v>a25k5r</v>
    <v>268435456</v>
    <v>1</v>
    <v>Unterstützt von Refinitiv</v>
    <v>0</v>
    <v>1</v>
    <v>VERTEX PHARMACEUTICALS INCORPORATED (XNAS:VRTX)</v>
    <v>3</v>
    <v>4</v>
    <v>Finance</v>
    <v>5</v>
    <v>510.77</v>
    <v>362.5</v>
    <v>-2.89</v>
    <v>-6.5430000000000002E-3</v>
    <v>254359700</v>
    <v>Vertex Pharmaceuticals Incorporated ist ein globales Biotechnologieunternehmen, das in wissenschaftliche Innovationen investiert, um transformative Medikamente für Menschen mit schweren Krankheiten zu entwickeln, mit Schwerpunkt auf Spezialmärkten. Es hat sieben zugelassene Arzneimittel: Fünf zur Behandlung der zugrunde liegenden Ursache der Mukoviszidose (CF), eines zur Behandlung der schweren Sichelzellkrankheit (SCD) und der transfusionsabhängigen Beta-Thalassämie (TDT) und eines zur Behandlung mittelschwerer bis schwerer akuter Schmerzen. Die Pipeline umfasst Programme im klinischen Stadium bei CF, SCD, Beta-Thalassämie, akuten und peripheren neuropathischen Schmerzen, APOL1-vermittelter Nierenerkrankung, IgA-Nephropathie und anderen autoimmunen Nierenerkrankungen und Zytopenien, Typ-1-Diabetes, myotonischer Dystrophie Typ 1 und autosomal dominanter polyzystischer Nierenerkrankung. Die in Verkehr gebrachten Arzneimittel sind TRIKAFTA/KAFTRIO (Elexacaftor/Tezacaftor/Ivacaftor und Ivacaftor), SYMDEKO/SYMKEVI (Elexacaftor/Tezacaftor/Ivacaftor und Ivacaftor), ORKAMBI (Lumacaftor/Ivacaftor) und KALYDECO (Ivacaftor).</v>
    <v>0.34439999999999998</v>
    <v>111615579957</v>
    <v>Nasdaq Stock Market</v>
    <v>XNAS</v>
    <v>XNAS</v>
    <v>50 Northern Avenue, BOSTON, MA, 02210 US</v>
    <v>445.34</v>
    <v>Pharmaceuticals</v>
    <v>Aktie</v>
    <v>28.6187</v>
    <v>246</v>
    <v>46128.710815613282</v>
    <v>6400</v>
    <v>VERTEX PHARMACEUTICALS INCORPORATED</v>
    <v>438.19</v>
    <v>VERTEX PHARMACEUTICALS INCORPORATED</v>
    <v>442.35</v>
    <v>438.81</v>
    <v>441.7</v>
    <v>VRTX</v>
    <v>VERTEX PHARMACEUTICALS INCORPORATED (XNAS:VRTX)</v>
    <v>1989</v>
    <v>344214</v>
    <v>1382111</v>
    <v>USD</v>
  </rv>
  <rv s="2">
    <v>626</v>
  </rv>
  <rv s="1">
    <v>de-DE</v>
    <v>a1ohur</v>
    <v>268435456</v>
    <v>1</v>
    <v>Unterstützt von Refinitiv</v>
    <v>0</v>
    <v>1</v>
    <v>BIOGEN INC. (XNAS:BIIB)</v>
    <v>3</v>
    <v>4</v>
    <v>Finance</v>
    <v>5</v>
    <v>202.41</v>
    <v>114.66</v>
    <v>-4.43</v>
    <v>-2.4537E-2</v>
    <v>146758500</v>
    <v>Biogen Inc. ist ein globales biopharmazeutisches Unternehmen. Das Unternehmen konzentriert sich auf die Entdeckung, Entwicklung und Bereitstellung neuartiger Therapien für Menschen, die weltweit mit schweren und komplexen Krankheiten leben. Es verfügt über ein Portfolio von Medikamenten zur Behandlung von Multipler Sklerose (MS), Spinaler Muskelatrophie (SMA), Alzheimer und Amyotropher Lateralsklerose (ALS). Das Unternehmen konzentriert sich darauf, seine Pipeline in den Bereichen Neurologie, spezialisierte Immunologie und seltene Krankheiten voranzubringen. Zu den vermarkteten Produkten gehören TECFIDERA, VUMERITY, AVONEX, PLEGRIDY, TYSABRI und FAMPYRA zur Behandlung von MS, SPINRAZA zur Behandlung von SMA, SKYCLARYS zur Behandlung von Friedreich-Ataxie, QALSODY zur Behandlung von ALS und FUMADERM zur Behandlung von schwerer Plaque-Psoriasis. Darüber hinaus arbeitet das Unternehmen mit Eisai an der Vermarktung von LEQEMBI zur Behandlung der Alzheimer-Krankheit und mit Sage an der Vermarktung von ZURZUVAE zur Behandlung der postpartalen Depression (PPD).</v>
    <v>0.16700000000000001</v>
    <v>25845639435</v>
    <v>Nasdaq Stock Market</v>
    <v>XNAS</v>
    <v>XNAS</v>
    <v>225 Binney Street, CAMBRIDGE, MA, 02142 US</v>
    <v>179.5</v>
    <v>Pharmaceuticals</v>
    <v>Aktie</v>
    <v>19.999099999999999</v>
    <v>249</v>
    <v>46128.710632453127</v>
    <v>7500</v>
    <v>BIOGEN INC.</v>
    <v>176.06</v>
    <v>BIOGEN INC.</v>
    <v>178.68</v>
    <v>176.11</v>
    <v>180.54</v>
    <v>BIIB</v>
    <v>BIOGEN INC. (XNAS:BIIB)</v>
    <v>1997</v>
    <v>294649</v>
    <v>1231836</v>
    <v>USD</v>
  </rv>
  <rv s="2">
    <v>628</v>
  </rv>
  <rv s="1">
    <v>de-DE</v>
    <v>a1tvoc</v>
    <v>268435456</v>
    <v>1</v>
    <v>Unterstützt von Refinitiv</v>
    <v>0</v>
    <v>1</v>
    <v>GILEAD SCIENCES, INC. (XNAS:GILD)</v>
    <v>3</v>
    <v>4</v>
    <v>Finance</v>
    <v>5</v>
    <v>157.29</v>
    <v>93.37</v>
    <v>-1.3127</v>
    <v>-9.392000000000001E-3</v>
    <v>1241222000</v>
    <v>Gilead Sciences, Inc. Ist ein biopharmazeutisches Unternehmen. Es ist an der Entwicklung von Arzneimitteln zur Vorbeugung und Behandlung lebensbedrohlicher Krankheiten wie HIV, Virushepatitis, COVID-19, Krebs und Entzündungen beteiligt. Es konzentriert sich auf die Entdeckung, Entwicklung und Bereitstellung von Arzneimitteln, die auf ungedeckten medizinischen Bedarf in der Virologie, Onkologie und anderen therapeutischen Bereichen abgestellt werden. Das Portfolio der vermarkteten Produkte umfasst Biktarvy, Genvoya, Descovy, Complera/Eviplera, Symtuza, Truvada, Stribild, Sunlenca, Epclusa, Vemlidy, Harvoni, Viread, Livdelzi, Veklury, Yescarta, Tecartus, Trodelvy, AmBisome und Letairis. Zu den Produktkandidaten gehören Bulevirtide, Lenacapavir, Axicabtagene Ciloleucel, Sacituzumab Govitecan-hziy und andere. Es entwickelt auch das HB-400-Programm und das HB-500-Programm. Es entwickelt Therapien, die funktionelle Heilungen gegen das Hepatitis-B-Virus und das humane Immundefizienzvirus-1 liefern sollen. Es ist in mehr als 35 Ländern weltweit tätig.</v>
    <v>0.4002</v>
    <v>171856246820</v>
    <v>Nasdaq Stock Market</v>
    <v>XNAS</v>
    <v>XNAS</v>
    <v>333 LAKESIDE DR, FOSTER CITY, CA, 94404-1147 US</v>
    <v>140.26499999999999</v>
    <v>Pharmaceuticals</v>
    <v>Aktie</v>
    <v>20.410299999999999</v>
    <v>252</v>
    <v>46128.710731017971</v>
    <v>17000</v>
    <v>GILEAD SCIENCES, INC.</v>
    <v>138.37</v>
    <v>GILEAD SCIENCES, INC.</v>
    <v>138.61000000000001</v>
    <v>138.4573</v>
    <v>139.77000000000001</v>
    <v>GILD</v>
    <v>GILEAD SCIENCES, INC. (XNAS:GILD)</v>
    <v>1987</v>
    <v>1067492</v>
    <v>5841151</v>
    <v>USD</v>
  </rv>
  <rv s="2">
    <v>630</v>
  </rv>
  <rv s="1">
    <v>de-DE</v>
    <v>bo5fpr</v>
    <v>268435456</v>
    <v>1</v>
    <v>Unterstützt von Refinitiv</v>
    <v>0</v>
    <v>1</v>
    <v>MODERNA, INC. (XNAS:MRNA)</v>
    <v>3</v>
    <v>4</v>
    <v>Finance</v>
    <v>5</v>
    <v>59.55</v>
    <v>22.28</v>
    <v>-0.77500000000000002</v>
    <v>-1.4282999999999999E-2</v>
    <v>396586900</v>
    <v>Moderna, Inc. Ist ein Biotechnologieunternehmen. Das Unternehmen entwickelt eine neue Klasse von Arzneimitteln, die aus Botenstoff Ribonukleinsäure (mRNA) hergestellt werden. Es entwickelt Therapeutika und Impfstoffe für Infektionskrankheiten, Immunonkologie, seltene Krankheiten und Autoimmunerkrankungen. MRNA-Arzneimittel sollen die Zellen des Körpers dazu bringen, intrazelluläre, membranförmige oder sezernierte Proteine zu produzieren, die einen therapeutischen oder präventiven Nutzen mit dem Potenzial haben, ein Spektrum von Krankheiten zu behandeln. Die vielfältige Entwicklungspipeline des Unternehmens besteht aus 44 therapeutischen und Impfprogrammen, von denen 11 sich in der späten Entwicklungsphase befinden. Zu den kommerziellen Produkten gehören Spikevax (sein COVID-Impfstoff) und mRESVIA (sein Respiratory Syncytial Virus (RSV)-Impfstoff). Darüber hinaus hat es vier positive Phase-III-Daten für seinen COVID-Impfstoff (mRNA-1283), seinen RSV-Impfstoff für Hochrisiko-Erwachsene im Alter von 18 bis 59 Jahren (mRNA-1345), seinen saisonalen Grippe+COVID-Impfstoff (mRNA-1083) und seinen saisonalen Grippeimpfstoff (mRNA-1010) erreicht.</v>
    <v>1.2113</v>
    <v>21211450346</v>
    <v>Nasdaq Stock Market</v>
    <v>XNAS</v>
    <v>XNAS</v>
    <v>325 BINNEY STREET, Cambridge, MA, 02142 US</v>
    <v>54.21</v>
    <v>Pharmaceuticals</v>
    <v>Aktie</v>
    <v>0</v>
    <v>255</v>
    <v>46128.710837916406</v>
    <v>4700</v>
    <v>MODERNA, INC.</v>
    <v>52.76</v>
    <v>MODERNA, INC.</v>
    <v>54.13</v>
    <v>53.484999999999999</v>
    <v>54.26</v>
    <v>MRNA</v>
    <v>MODERNA, INC. (XNAS:MRNA)</v>
    <v>2016</v>
    <v>1770654</v>
    <v>6137257</v>
    <v>USD</v>
  </rv>
  <rv s="2">
    <v>632</v>
  </rv>
  <rv s="1">
    <v>de-DE</v>
    <v>a1vjbh</v>
    <v>268435456</v>
    <v>1</v>
    <v>Unterstützt von Refinitiv</v>
    <v>0</v>
    <v>1</v>
    <v>INCYTE CORPORATION (XNAS:INCY)</v>
    <v>3</v>
    <v>4</v>
    <v>Finance</v>
    <v>5</v>
    <v>112.29</v>
    <v>56.13</v>
    <v>-1.9650000000000001</v>
    <v>-2.0236999999999998E-2</v>
    <v>199014500</v>
    <v>Incyte Corporation ist ein biopharmazeutisches Unternehmen, das sich auf die Entdeckung, Entwicklung und Vermarktung von Therapeutika konzentriert. Das Unternehmen ist in zwei therapeutischen Bereichen tätig, ein therapeutischer Bereich ist Hämatologie/Onkologie, der aus myeloproliferativen Neubildungen und Graft-versus-Host-Erkrankungen sowie soliden Tumoren und hämatologischen Malignomen besteht. Sein anderer therapeutischer Bereich ist Entzündung und Autoimmunität, zu der auch die Dermatologie kommerzielle Franchise gehört. Seine Hämatologie- und Onkologie-Franchise umfasst vier Produkte: JAKAFI (Ruxolitinib), MONJUVI (Tafasitamab-cxix)/MINJUVI (Tafasitamab), PEMAZYRE (Pemigatinib), ICLUSIG (Ponatinib) und ZYNYZ (retifanlimab-dlwr). sowie zahlreiche klinische Entwicklungsprogramme. Die Pipeline des Unternehmens umfasst auch zwei erstklassige niedermolekulare Antagonisten, die den Mas-verwandten G-Protein-gekoppelten Rezeptor X2 (MRGPRX2) zur Behandlung verschiedener Mastzellstörungen und MRGPRX4 für cholestatischen Pruritus ansprechen.</v>
    <v>0.83709999999999996</v>
    <v>18933244457</v>
    <v>Nasdaq Stock Market</v>
    <v>XNAS</v>
    <v>XNAS</v>
    <v>1801 Augustine Cut-Off, WILMINGTON, DE, 19803 US</v>
    <v>97.53</v>
    <v>Pharmaceuticals</v>
    <v>Aktie</v>
    <v>14.853899999999999</v>
    <v>258</v>
    <v>46128.710672615627</v>
    <v>2844</v>
    <v>INCYTE CORPORATION</v>
    <v>95.06</v>
    <v>INCYTE CORPORATION</v>
    <v>96.95</v>
    <v>95.135000000000005</v>
    <v>97.1</v>
    <v>INCY</v>
    <v>INCYTE CORPORATION (XNAS:INCY)</v>
    <v>1991</v>
    <v>547060</v>
    <v>1544840</v>
    <v>USD</v>
  </rv>
  <rv s="2">
    <v>634</v>
  </rv>
  <rv s="1">
    <v>de-DE</v>
    <v>a1nbmw</v>
    <v>268435456</v>
    <v>1</v>
    <v>Unterstützt von Refinitiv</v>
    <v>0</v>
    <v>1</v>
    <v>ALNYLAM PHARMACEUTICALS, INC. (XNAS:ALNY)</v>
    <v>3</v>
    <v>4</v>
    <v>Finance</v>
    <v>5</v>
    <v>495.55</v>
    <v>225.84479999999999</v>
    <v>-6.5650000000000004</v>
    <v>-1.9692000000000001E-2</v>
    <v>133427900</v>
    <v>Alnylam Pharmaceuticals, Inc. Ist ein biopharmazeutisches Unternehmen. Das Unternehmen beschäftigt sich mit der Entdeckung, Entwicklung, Herstellung und Vermarktung neuartiger Therapeutika, die auf Ribonukleinsäureinterferenz (RNAi) basieren. Zu den in den Verkehr gebrachten Produkten gehören AMVUTTRA (Vutrisiran) zur Behandlung der hereditären transthyretin-vermittelten Amyloidose (hATTR) mit Polyneuropathie bei Erwachsenen; ONPATTRO (Patisiran) zur Behandlung der Polyneuropathie der hATTR-Amyloidose bei Erwachsenen; GIVLAARI (Givosiran) zur Behandlung von Erwachsenen mit akuter hepatischer Porphyrie; OXLUMO (Lumasiran), die als primäre Behandlung von Hyperklitis oder Hyperlipiran), die durch Hyperglyciran (Hyperglyciran), die als Hyperglykämie oder Hyperglyciran (Hyperglykämie) entwickelt wird, die durch Hyperglyciran). Darüber hinaus entwickelt das Unternehmen Cemdisiran zur Behandlung komplementvermittelter Erkrankungen, Belcesiran zur Behandlung von Alpha-1-Lebererkrankungen, Elebsiran, Zilebesiran, ALN-APP, ALN-HSD, Fitusiran und andere.</v>
    <v>0.376</v>
    <v>43607573417</v>
    <v>Nasdaq Stock Market</v>
    <v>XNAS</v>
    <v>XNAS</v>
    <v>675 W Kendall St, CAMBRIDGE, MA, 02142-1168 US</v>
    <v>333.39</v>
    <v>Pharmaceuticals</v>
    <v>Aktie</v>
    <v>145.56610000000001</v>
    <v>261</v>
    <v>46128.710848935159</v>
    <v>2500</v>
    <v>ALNYLAM PHARMACEUTICALS, INC.</v>
    <v>325.99</v>
    <v>ALNYLAM PHARMACEUTICALS, INC.</v>
    <v>333.39</v>
    <v>326.82499999999999</v>
    <v>333.39</v>
    <v>ALNY</v>
    <v>ALNYLAM PHARMACEUTICALS, INC. (XNAS:ALNY)</v>
    <v>2003</v>
    <v>278702</v>
    <v>1132527</v>
    <v>USD</v>
  </rv>
  <rv s="2">
    <v>636</v>
  </rv>
  <rv s="1">
    <v>de-DE</v>
    <v>a1vt77</v>
    <v>268435456</v>
    <v>1</v>
    <v>Unterstützt von Refinitiv</v>
    <v>0</v>
    <v>1</v>
    <v>INTUITIVE SURGICAL, INC. (XNAS:ISRG)</v>
    <v>3</v>
    <v>4</v>
    <v>Finance</v>
    <v>5</v>
    <v>603.88</v>
    <v>427.83600000000001</v>
    <v>-12.37</v>
    <v>-2.6410999999999997E-2</v>
    <v>355169700</v>
    <v>Intuitive Surgical, Inc. Entwickelt, produziert und vermarktet da Vinci chirurgische Systeme und das endoluminale Ionensystem. Das Unternehmen ist auf invasive Versorgung und robotergestützte Chirurgie spezialisiert. Zu seinen Technologien gehören die da Vinci-Operationssysteme und das endoluminale Ionensystem. Das da Vinci-Operationssystem wurde entwickelt, um Chirurgen die Durchführung einer Reihe von chirurgischen Eingriffen innerhalb seiner Spezialgebiete für allgemeine Chirurgie, Urologie, Gynäkologie, Kardiothorakie und Kopf-Hals-Chirurgie zu ermöglichen. Es besteht aus einer OP-Konsole oder -Konsolen, einem Patientenwagen und einem Hochleistungs-Sehsystem. Das endoluminale Ionensystem ist eine flexible, robotergestützte, kathetergestützte Plattform, bei der es sich um minimal-invasive Biopsien in der Lunge handelt. Es besteht aus einem Systemwagen, einem Controller, einem Katheter und einer Vision-Sonde. Das Ionensystem erweitert sein kommerzielles Angebot über die Chirurgie hinaus auf diagnostische und endoluminale Verfahren.</v>
    <v>1.5859000000000001</v>
    <v>161953831503</v>
    <v>Nasdaq Stock Market</v>
    <v>XNAS</v>
    <v>XNAS</v>
    <v>1020 Kifer Road, SUNNYVALE, CA, 94086 US</v>
    <v>471.8</v>
    <v>Healthcare Equipment &amp; Supplies</v>
    <v>Aktie</v>
    <v>57.9086</v>
    <v>264</v>
    <v>46128.710850566407</v>
    <v>17021</v>
    <v>INTUITIVE SURGICAL, INC.</v>
    <v>455.57</v>
    <v>INTUITIVE SURGICAL, INC.</v>
    <v>469.08</v>
    <v>455.99</v>
    <v>468.36</v>
    <v>ISRG</v>
    <v>INTUITIVE SURGICAL, INC. (XNAS:ISRG)</v>
    <v>1995</v>
    <v>988171</v>
    <v>1687487</v>
    <v>USD</v>
  </rv>
  <rv s="2">
    <v>638</v>
  </rv>
  <rv s="1">
    <v>de-DE</v>
    <v>a1mrar</v>
    <v>268435456</v>
    <v>1</v>
    <v>Unterstützt von Refinitiv</v>
    <v>0</v>
    <v>1</v>
    <v>ABBOTT LABORATORIES (XNYS:ABT)</v>
    <v>3</v>
    <v>4</v>
    <v>Finance</v>
    <v>5</v>
    <v>139.06</v>
    <v>94.23</v>
    <v>-7.33</v>
    <v>-7.2174000000000002E-2</v>
    <v>1737675000</v>
    <v>Abbott Laboratories ist ein weltweit tätiges Unternehmen im Gesundheitswesen. Das Unternehmen beschäftigt sich mit der Entdeckung, Entwicklung, Herstellung und dem Verkauf einer breiten und diversifizierten Produktpalette von Gesundheitsprodukten. Das Unternehmen ist in vier Segmenten tätig: Etablierte pharmazeutische Produkte, Diagnostika, Ernährungsprodukte und Medizinprodukte. Das etablierte Segment Pharmaceutical Products ist im internationalen Vertrieb einer breiten Palette von generischen Markenprodukten tätig. Das Segment Diagnostika ist im weltweiten Vertrieb von Diagnosesystemen und -Tests für Blutbanken, Krankenhäuser, kommerzielle Labors und Teststandorte für alternative Pflegeprodukte tätig. Das Segment Nutritional Products ist am weltweiten Vertrieb einer breiten Palette von Ernährungsprodukten für Erwachsene und Kinder beteiligt. Das Segment Medical Devices umfasst den weltweiten Vertrieb von Rhythmusmanagement, Elektrophysiologie, Herzinsuffizienz, Gefäßgefäßen, strukturellen Herzerkrankungen, neuromodulation und Diabetespflegeprodukte.</v>
    <v>0.75880000000000003</v>
    <v>163741115250</v>
    <v>New York Stock Exchange</v>
    <v>XNYS</v>
    <v>XNYS</v>
    <v>100 Abbott Park Road, Abbot Park, ABBOTT PARK, IL, 60064-3500 US</v>
    <v>99</v>
    <v>Healthcare Equipment &amp; Supplies</v>
    <v>Aktie</v>
    <v>25.247199999999999</v>
    <v>267</v>
    <v>46128.710863853907</v>
    <v>115000</v>
    <v>ABBOTT LABORATORIES</v>
    <v>94.23</v>
    <v>ABBOTT LABORATORIES</v>
    <v>97.42</v>
    <v>94.23</v>
    <v>101.56</v>
    <v>ABT</v>
    <v>ABBOTT LABORATORIES (XNYS:ABT)</v>
    <v>1900</v>
    <v>14162324</v>
    <v>12296153</v>
    <v>USD</v>
  </rv>
  <rv s="2">
    <v>640</v>
  </rv>
  <rv s="1">
    <v>de-DE</v>
    <v>a1xg3m</v>
    <v>268435456</v>
    <v>1</v>
    <v>Unterstützt von Refinitiv</v>
    <v>0</v>
    <v>1</v>
    <v>MEDTRONIC PUBLIC LIMITED COMPANY (XNYS:MDT)</v>
    <v>3</v>
    <v>4</v>
    <v>Finance</v>
    <v>5</v>
    <v>106.33</v>
    <v>79.930000000000007</v>
    <v>-0.8</v>
    <v>-9.1850000000000005E-3</v>
    <v>1283885000</v>
    <v>Medtronic Public Limited Company ist ein irisches Unternehmen, das Technologielösungen für das Gesundheitswesen anbietet. Die Produktkategorie des Unternehmens umfasst fortschrittliche Chirurgentechnologie, Herzrhythmus, Herz-Kreislauf, Verdauung und Magen-Darm-Trakt, Ohr, Nase &amp; Hals; Allgemeine Chirurgie; Gynäkologie; Neurologisch; Mund- Und Kiefer- Und Gesichtschirurgie; Patientenüberwachung, Nierenversorgung, Atmung, Wirbelsäulen- und Orthopädie, chirurgische Navigation und Bildgebung, Urologie, Produkthandbücher, Produktbestellung und -Anfragen sowie Produktleistung und -Empfehlungen. Zu den Produkten gehören die Stabilisierung implantierbarer elektronischer Geräte (CIED), Produkte für Aortenstenttransplantate, CareLink Personal Therapy Management Software und CareLink Pro Therapy Management Software. Zu den Dienstleistungen und Lösungen gehören Ressourcen für ambulante Chirurgie, Care Management Services, Unterstützung für digitale Konnektivität Informationstechnologie (IT), Geräte-Services und -Support, Innovation Lab, Medtronic Healthcare Consulting und die niedergelassene Sinuschirurgie.</v>
    <v>0.71130000000000004</v>
    <v>110799275500</v>
    <v>New York Stock Exchange</v>
    <v>XNYS</v>
    <v>XNYS</v>
    <v>20 LOWER HATCH STREET DUBLIN 2, DUBLIN, D02 XH02 IE</v>
    <v>87.58</v>
    <v>Healthcare Equipment &amp; Supplies</v>
    <v>Aktie</v>
    <v>24.098099999999999</v>
    <v>270</v>
    <v>46128.710833633595</v>
    <v>95000</v>
    <v>MEDTRONIC PUBLIC LIMITED COMPANY</v>
    <v>85.99</v>
    <v>MEDTRONIC PUBLIC LIMITED COMPANY</v>
    <v>86.9</v>
    <v>86.3</v>
    <v>87.1</v>
    <v>MDT</v>
    <v>MEDTRONIC PUBLIC LIMITED COMPANY (XNYS:MDT)</v>
    <v>2014</v>
    <v>3584462</v>
    <v>8015156</v>
    <v>USD</v>
  </rv>
  <rv s="2">
    <v>642</v>
  </rv>
  <rv s="1">
    <v>de-DE</v>
    <v>a1oxur</v>
    <v>268435456</v>
    <v>1</v>
    <v>Unterstützt von Refinitiv</v>
    <v>0</v>
    <v>1</v>
    <v>BOSTON SCIENTIFIC CORPORATION (XNYS:BSX)</v>
    <v>3</v>
    <v>4</v>
    <v>Finance</v>
    <v>5</v>
    <v>109.5</v>
    <v>60.59</v>
    <v>-0.75</v>
    <v>-1.1608E-2</v>
    <v>1486175000</v>
    <v>Boston Scientific Corporation ist ein weltweit tätiger Entwickler, Hersteller und Vermarkter von medizinischen Geräten, die in einer Reihe von interventionellen medizinischen Fachgebieten eingesetzt werden. Das Segment MedSurg des Unternehmens umfasst die Bereiche Endoskopie, Urologie und Neuromodulation. Der Geschäftsbereich Endoskopie entwickelt und fertigt Geräte zur Diagnose und Behandlung einer Reihe von Magen-Darm-Erkrankungen mit weniger invasiven Technologien. Der Geschäftsbereich Urologie entwickelt und produziert Geräte zur Behandlung verschiedener urologischer Erkrankungen sowohl für die männliche als auch für die weibliche Anatomie, einschließlich Nierensteinen, gutartiger Prostatahyperplasie, Prostatakrebs, erektiler Dysfunktion und Inkontinenz. Das Geschäftsfeld Neuromodulation entwickelt und fertigt Geräte zur Behandlung verschiedener neurologischer Bewegungsstörungen und zur Behandlung chronischer Schmerzen. Das Segment Herz-Kreislauf umfasst die Bereiche Kardiologie und periphere Interventionen. Die Kardiologie umfasst interventionelle kardiologische Therapien, Watchman, Herzrhythmus-Management und Elektrophysiologie.</v>
    <v>0.73250000000000004</v>
    <v>94907135500</v>
    <v>New York Stock Exchange</v>
    <v>XNYS</v>
    <v>XNYS</v>
    <v>300 Boston Scientific Way, MARLBOROUGH, MA, 01752-1234 US</v>
    <v>65.56</v>
    <v>Healthcare Equipment &amp; Supplies</v>
    <v>Aktie</v>
    <v>32.9328</v>
    <v>273</v>
    <v>46128.710846875001</v>
    <v>59000</v>
    <v>BOSTON SCIENTIFIC CORPORATION</v>
    <v>63.85</v>
    <v>BOSTON SCIENTIFIC CORPORATION</v>
    <v>64.95</v>
    <v>63.86</v>
    <v>64.61</v>
    <v>BSX</v>
    <v>BOSTON SCIENTIFIC CORPORATION (XNYS:BSX)</v>
    <v>1979</v>
    <v>4586231</v>
    <v>15067398</v>
    <v>USD</v>
  </rv>
  <rv s="2">
    <v>644</v>
  </rv>
  <rv s="1">
    <v>de-DE</v>
    <v>b19h6h</v>
    <v>268435456</v>
    <v>1</v>
    <v>Unterstützt von Refinitiv</v>
    <v>0</v>
    <v>1</v>
    <v>CHAMPION HOMES, INC (XNYS:SKY)</v>
    <v>3</v>
    <v>4</v>
    <v>Finance</v>
    <v>5</v>
    <v>99.165099999999995</v>
    <v>59.44</v>
    <v>0.22500000000000001</v>
    <v>2.9729999999999999E-3</v>
    <v>55302020</v>
    <v>Champion Homes, Inc. Ist ein Hersteller von fabrikgebauten Wohnhäusern in Nordamerika. Zu den Segmenten gehören U.S. Factory-Built Housing, das Produktions- und Einzelhandelswohnungen umfasst, und Canadian Factory-Built Housing. Das Unternehmen verfügt über ein Portfolio von gefertigten und modularen Wohnhäusern, Zubehörwohnungen (ADUs), Parkmodellen und modularen Gebäuden für die ein-, Mehrfamilien- und Gastgewerbebranche. Zusätzlich zu seinem Kerngeschäft im Wohnungsbau erbringt das Unternehmen Baudienstleistungen für die Installation und Einrichtung von Fabrikhäusern, betreibt ein direkt in Fabriken gebautes Einzelhandelsgeschäft mit 72 Einzelhandelsstandorten in den Vereinigten Staaten und betreibt Star Fleet Trucking, das Transportdienstleistungen für gefertigte Wohnungen und andere Industrien von mehreren Versandstandorten in den Vereinigten Staaten aus erbringt. Es baut Häuser unter Markennamen in der Fabrikbauindustrie, darunter Champion Homes, Genesis Homes, Skyline Homes, Regional Homes, Athen Park und Dutch Housing.</v>
    <v>1.1041000000000001</v>
    <v>4198252848</v>
    <v>New York Stock Exchange</v>
    <v>XNYS</v>
    <v>XNYS</v>
    <v>755 W Big Beaver Road, Suite 1000, TROY, MI, 48084 US</v>
    <v>76.685000000000002</v>
    <v>Homebuilding &amp; Construction Supplies</v>
    <v>Aktie</v>
    <v>20.2559</v>
    <v>276</v>
    <v>46128.710827950781</v>
    <v>9000</v>
    <v>CHAMPION HOMES, INC</v>
    <v>75.37</v>
    <v>CHAMPION HOMES, INC</v>
    <v>76.685000000000002</v>
    <v>75.915000000000006</v>
    <v>75.69</v>
    <v>SKY</v>
    <v>CHAMPION HOMES, INC (XNYS:SKY)</v>
    <v>1959</v>
    <v>91226</v>
    <v>551724</v>
    <v>USD</v>
  </rv>
  <rv s="2">
    <v>646</v>
  </rv>
  <rv s="1">
    <v>de-DE</v>
    <v>a1ser7</v>
    <v>268435456</v>
    <v>1</v>
    <v>Unterstützt von Refinitiv</v>
    <v>0</v>
    <v>1</v>
    <v>EDWARDS LIFESCIENCES CORPORATION (XNYS:EW)</v>
    <v>3</v>
    <v>4</v>
    <v>Finance</v>
    <v>5</v>
    <v>87.89</v>
    <v>68.63</v>
    <v>-0.20910000000000001</v>
    <v>-2.6740000000000002E-3</v>
    <v>576541700</v>
    <v>Edwards Lifesciences Corporation ist ein globales Unternehmen für strukturelle Herzinnovationen. Das Unternehmen beschäftigt sich mit patientenorientierten medizinischen Innovationen für strukturelle Herzerkrankungen und investiert in Forschung und Entwicklung, um die Versorgung von Personen zu verändern, die von strukturellen Herzerkrankungen betroffen sind. Die Produkte werden in Gruppen unterteilt, darunter Transcatheter-Aortenklappenersatz (TAVR), Transcatheter-Mitral- und Trikuspidtherapien (TMTT) und chirurgisches strukturelles Herz (Chirurgie). Es entwickelt Transkatheter-Herzklappenersatztechnologien für den minimalinvasiven Ersatz von Aortenherzklappen. Die Edwards SAPIEN Klappenfamilie umfasst die Systeme Edwards SAPIEN 3, Edwards SAPIEN 3 Ultra und Edwards SAPIEN 3 Ultra RESILIA. Diese Systeme sind katheterbasierte Ansätze zur Behandlung schwerer symptomatischer Aortenstenosen. Die PASCAL PRECISION- und Cardioband-Transkatheter-Ventilreparatursysteme sind in Europa für die Reparatur von Mitral- und Trikuspidalklappen im Handel erhältlich.</v>
    <v>0.85880000000000001</v>
    <v>44965006070</v>
    <v>New York Stock Exchange</v>
    <v>XNYS</v>
    <v>XNYS</v>
    <v>One Edwards Way, IRVINE, CA, 92614 US</v>
    <v>79.010000000000005</v>
    <v>Healthcare Equipment &amp; Supplies</v>
    <v>Aktie</v>
    <v>43.17</v>
    <v>279</v>
    <v>46128.71082510391</v>
    <v>16000</v>
    <v>EDWARDS LIFESCIENCES CORPORATION</v>
    <v>77.260000000000005</v>
    <v>EDWARDS LIFESCIENCES CORPORATION</v>
    <v>77.92</v>
    <v>77.990899999999996</v>
    <v>78.2</v>
    <v>EW</v>
    <v>EDWARDS LIFESCIENCES CORPORATION (XNYS:EW)</v>
    <v>1999</v>
    <v>2683218</v>
    <v>4574834</v>
    <v>USD</v>
  </rv>
  <rv s="2">
    <v>648</v>
  </rv>
  <rv s="1">
    <v>de-DE</v>
    <v>a1rgxm</v>
    <v>268435456</v>
    <v>1</v>
    <v>Unterstützt von Refinitiv</v>
    <v>0</v>
    <v>1</v>
    <v>DEXCOM, INC. (XNAS:DXCM)</v>
    <v>3</v>
    <v>4</v>
    <v>Finance</v>
    <v>5</v>
    <v>89.98</v>
    <v>54.11</v>
    <v>0.03</v>
    <v>4.8750000000000003E-4</v>
    <v>384864800</v>
    <v>DexCom, Inc. ist ein Unternehmen für medizinische Geräte. Das Unternehmen konzentriert sich in erster Linie auf die Konzeption, Entwicklung und Vermarktung von Systemen zur kontinuierlichen Blutzuckermessung (CGM) für das Management von Diabetes und Stoffwechselerkrankungen durch Patienten, Pflegepersonal und Kliniker. Zu seinen Produkten gehören Dexcom G6, Dexcom G7, Stelo, Dexcom Share und Dexcom ONE. Das Unternehmen ermöglicht es Menschen, ihre Gesundheit durch innovative Biosensortechnologie selbst in die Hand zu nehmen. Dexcom G6 ist sein integriertes System zur kontinuierlichen Blutzuckermessung (iCGM). Stelo wurde speziell für Menschen mit Typ-II-Diabetes entwickelt, die kein Insulin verwenden, und ist der erste frei verkäufliche Glukose-Biosensor in den Vereinigten Staaten. Das Fernüberwachungssystem Dexcom Share, das für jedes Dexcom-System angeboten wird, verwendet eine App auf dem kompatiblen Mobilgerät des Patienten. Das Dexcom G7 eignet sich für Erwachsene und Kinder (ab 2 Jahren) mit Typ-I- oder Typ-II-Diabetes, die Insulin oder Medikamente einnehmen, bei denen das Risiko einer Hypoglykämie besteht, sowie für Personen mit Schwangerschaftsdiabetes.</v>
    <v>1.4832000000000001</v>
    <v>23696125736</v>
    <v>Nasdaq Stock Market</v>
    <v>XNAS</v>
    <v>XNAS</v>
    <v>6340 Sequence Drive, SAN DIEGO, CA, 92121 US</v>
    <v>63.89</v>
    <v>Healthcare Equipment &amp; Supplies</v>
    <v>Aktie</v>
    <v>29.804400000000001</v>
    <v>282</v>
    <v>46128.710844536719</v>
    <v>11000</v>
    <v>DEXCOM, INC.</v>
    <v>61.24</v>
    <v>DEXCOM, INC.</v>
    <v>61.38</v>
    <v>61.57</v>
    <v>61.54</v>
    <v>DXCM</v>
    <v>DEXCOM, INC. (XNAS:DXCM)</v>
    <v>1999</v>
    <v>2643268</v>
    <v>4077311</v>
    <v>USD</v>
  </rv>
  <rv s="2">
    <v>650</v>
  </rv>
  <rv s="1">
    <v>de-DE</v>
    <v>a1ncjc</v>
    <v>268435456</v>
    <v>1</v>
    <v>Unterstützt von Refinitiv</v>
    <v>0</v>
    <v>1</v>
    <v>ALTIMMUNE, INC. (XNAS:ALT)</v>
    <v>3</v>
    <v>4</v>
    <v>Finance</v>
    <v>5</v>
    <v>7.73</v>
    <v>2.87</v>
    <v>-5.0000000000000001E-3</v>
    <v>-1.4710000000000001E-3</v>
    <v>130105200</v>
    <v>Altimmune, Inc. ist ein biopharmazeutisches Unternehmen in der klinischen Phase. Das Unternehmen konzentriert sich auf die Entwicklung peptidbasierter Therapeutika der nächsten Generation. Es entwickelt Pemvidutid, einen GLP-1/Glucagon-Doppelrezeptor-Agonisten für die Behandlung von Fettleibigkeit, metabolischer Dysfunktion und Steatohepatitis (MASH) und anderen Indikationen. Es wird angenommen, dass die Aktivierung der GLP-1- und Glucagon-Rezeptoren die komplementären Effekte von Diät und Sport auf die Gewichtsabnahme nachahmt, wobei GLP-1 den Appetit unterdrückt und Glucagon den Energieverbrauch erhöht. Glucagon wird auch eine direkte Wirkung auf den Fettstoffwechsel der Leber zugeschrieben, was zu einer raschen Senkung der Leberfett- und Serumlipidwerte führt. Das Unternehmen hat die Phase-II-Studie MOMENTUM zur Fettleibigkeit abgeschlossen und wird derzeit in der Phase-IIb-Studie IMPACT zu MASH untersucht. Das Unternehmen entwickelt und vermarktet auch Surfactant-funktionalisierte (EuPort-Domäne) Peptidtherapeutika auf Inkretinbasis, einschließlich (GLP-1-Glucagon)/Oxyntomodulin und Varianten.</v>
    <v>0.37319999999999998</v>
    <v>441707154</v>
    <v>Nasdaq Stock Market</v>
    <v>XNAS</v>
    <v>XNAS</v>
    <v>910 Clopper Road, Suite 201S, GAITHERSBURG, MD, 20878-1361 US</v>
    <v>3.4649999999999999</v>
    <v>Biotechnology &amp; Medical Research</v>
    <v>Aktie</v>
    <v>0</v>
    <v>285</v>
    <v>46128.710762881252</v>
    <v>57</v>
    <v>ALTIMMUNE, INC.</v>
    <v>3.35</v>
    <v>ALTIMMUNE, INC.</v>
    <v>3.39</v>
    <v>3.395</v>
    <v>3.4</v>
    <v>ALT</v>
    <v>ALTIMMUNE, INC. (XNAS:ALT)</v>
    <v>2005</v>
    <v>1045653</v>
    <v>3053724</v>
    <v>USD</v>
  </rv>
  <rv s="2">
    <v>652</v>
  </rv>
  <rv s="1">
    <v>de-DE</v>
    <v>a25e1h</v>
    <v>268435456</v>
    <v>1</v>
    <v>Unterstützt von Refinitiv</v>
    <v>0</v>
    <v>1</v>
    <v>VIKING THERAPEUTICS, INC. (XNAS:VKTX)</v>
    <v>3</v>
    <v>4</v>
    <v>Finance</v>
    <v>5</v>
    <v>43.15</v>
    <v>21.23</v>
    <v>-0.03</v>
    <v>-8.4629999999999992E-4</v>
    <v>115893900</v>
    <v>Viking Therapeutics, Inc. Ist ein biopharmazeutisches Unternehmen in klinischer Phase, das sich auf die Entwicklung von Therapien zur Behandlung von Stoffwechsel- und endokrinen Störungen konzentriert. Zu seinen klinischen Programmen gehören VK2735, ein neuer Dual-Agonist des Glucagon-ähnlichen Peptids 1 und Glucose-abhängige insulinotrope Polypeptidrezeptoren zur möglichen Behandlung verschiedener Stoffwechselstörungen. Es bewertet eine orale Formulierung von VK2735 in einer Phase-II-Studie. Es entwickelt auch VK2809, einen neuen, oral erhältlichen, kleinen Molekül-selektiven Schilddrüsenhormonrezeptor-Beta-Agonisten zur Behandlung von Lipid- und Stoffwechselstörungen. Sein neuestes Programm evaluiert eine Reihe intern entwickelter Dual-Amylin- und Calcitonin-Rezeptor-Agonisten zur Behandlung von Adipositas und anderen Stoffwechselstörungen. Im Bereich der seltenen Erkrankung entwickelt es VK0214, einen neuen, oral verfügbaren, niedermolekularen selektiven Beta-Agonisten des Schilddrüsenhormonrezeptors zur möglichen Behandlung der X-verknüpften Adrenoleukodystrophie.</v>
    <v>0.83940000000000003</v>
    <v>4104961938</v>
    <v>Nasdaq Stock Market</v>
    <v>XNAS</v>
    <v>XNAS</v>
    <v>9920 Pacific Heights Blvd, Suite 350, SAN DIEGO, CA, 92121 US</v>
    <v>35.664999999999999</v>
    <v>Biotechnology &amp; Medical Research</v>
    <v>Aktie</v>
    <v>0</v>
    <v>288</v>
    <v>46128.71080070547</v>
    <v>53</v>
    <v>VIKING THERAPEUTICS, INC.</v>
    <v>34.85</v>
    <v>VIKING THERAPEUTICS, INC.</v>
    <v>35.450000000000003</v>
    <v>35.42</v>
    <v>35.450000000000003</v>
    <v>VKTX</v>
    <v>VIKING THERAPEUTICS, INC. (XNAS:VKTX)</v>
    <v>2012</v>
    <v>741391</v>
    <v>2355857</v>
    <v>USD</v>
  </rv>
  <rv s="2">
    <v>654</v>
  </rv>
  <rv s="5">
    <v>de-DE</v>
    <v>a1nec7</v>
    <v>268435456</v>
    <v>1</v>
    <v>Unterstützt von Refinitiv</v>
    <v>8</v>
    <v>9</v>
    <v>AMGEN INC. (XNAS:AMGN)</v>
    <v>11</v>
    <v>12</v>
    <v>Finance</v>
    <v>5</v>
    <v>391.29</v>
    <v>261.43</v>
    <v>-0.96</v>
    <v>-2.7569999999999999E-3</v>
    <v>539685500</v>
    <v>Amgen Inc. ist ein Biotechnologieunternehmen. Es erforscht, entwickelt, produziert und vertreibt Medikamente für schwerste Erkrankungen. Der Schwerpunkt liegt auf Bereichen mit hohem medizinischem Bedarf und nutzt seine Expertise, um Lösungen zu finden, die das Leben der Menschen verbessern. Amgen ist im Bereich der Humantherapie tätig. Zu den vermarkteten Produkten gehören EPOGEN (Epoetin alfa); Aranesp (Darbepoetin alfa); Parsabiv (Etelcalcetid); Neulasta (Pegfilgrastim); KANJINTI (Trastuzumab-anns); Otezla; BLINCYTO (Blinatumomab); ACTIMMUNE (Interferon gamma-1b); Neulasta (Pegfilgrastim); Sensipar/Mimpara (Cinacalcet); Prolia (Denosumab); ENBREL; QUINSAIR (Levofloxacin); Repatha (Evolocumab) und weitere. Das Unternehmen vertreibt ENBREL, einen Tumornekrosefaktor-Blocker, in den USA und Kanada. Otezla, ein kleines Molekül, das die Phosphodiesterase 4 hemmt, wird in vielen Ländern weltweit vermarktet. Repatha, ein Inhibitor der Proproteinkonvertase Subtilisin/Kexin Typ 9 (PCSK9), wird ebenfalls in vielen Ländern weltweit vermarktet.</v>
    <v>0.46160000000000001</v>
    <v>293</v>
    <v>187411186730</v>
    <v>Nasdaq Stock Market</v>
    <v>XNAS</v>
    <v>XNAS</v>
    <v>One Amgen Center Drive, THOUSAND OAKS, CA, 91320-1799 US</v>
    <v>351.2518</v>
    <v>Pharmaceuticals</v>
    <v>Aktie</v>
    <v>24.3902</v>
    <v>294</v>
    <v>46128.710769085155</v>
    <v>31500</v>
    <v>AMGEN INC.</v>
    <v>346.63</v>
    <v>AMGEN INC.</v>
    <v>346.63</v>
    <v>347.26</v>
    <v>348.22</v>
    <v>AMGN</v>
    <v>AMGEN INC. (XNAS:AMGN)</v>
    <v>1986</v>
    <v>555483</v>
    <v>2638009</v>
    <v>USD</v>
  </rv>
  <rv s="2">
    <v>656</v>
  </rv>
  <rv s="1">
    <v>de-DE</v>
    <v>a2u2jc</v>
    <v>268435456</v>
    <v>1</v>
    <v>Unterstützt von Refinitiv</v>
    <v>0</v>
    <v>1</v>
    <v>Roche Holding AG (OTCM:RHHBY)</v>
    <v>3</v>
    <v>4</v>
    <v>Finance</v>
    <v>7</v>
    <v>60.85</v>
    <v>35.07</v>
    <v>-1.03</v>
    <v>-2.0199999999999999E-2</v>
    <v>6474030000</v>
    <v>Roche Holding AG ist ein forschungsorientiertes Healthcare-Unternehmen. Das Unternehmen entwickelt, produziert und liefert Medikamente und diagnostische Instrumente und Tests. Seine operativen Geschäftsbereiche gliedern sich in zwei Geschäftsbereiche: Pharma und Diagnostics. Die Division Pharma besteht aus zwei Geschäftsbereichen: Roche Pharma und Chugai. Die Division Diagnostics besteht aus vier Geschäftsbereichen: Diabetes Care, Molecular Diagnostics, Professional Diagnostics und Tissue Diagnostics. Es entwickelt Medikamente gegen Krankheitsbereiche, darunter Onkologie, Immunologie, Infektionskrankheiten, Augenheilkunde und Neurowissenschaften. Das Produktportfolio besteht aus Pharmaprodukten, Lösungen für die Diagnostik und Produkte für Forscher. Zu den pharmazeutischen Produkten zählen ACTEMRA und CellCept. Seine Lösungen für Diagnostikprodukte umfassen Accu-Chek Active System und Accu-Chek Aviva Nano System. Die Produkte des Unternehmens für Forscher umfassen Cedex HiRes und Genome Sequencer FLX System.</v>
    <v>0.52449999999999997</v>
    <v>323442538800</v>
    <v>OTC Markets</v>
    <v>OTCM</v>
    <v>OTCM</v>
    <v>Grenzacherstr. 124, BASEL, BASEL-STADT, 4058 CH</v>
    <v>50.54</v>
    <v>Pharmaceuticals</v>
    <v>Aktie</v>
    <v>35.133099999999999</v>
    <v>297</v>
    <v>46128.700412568753</v>
    <v>112774</v>
    <v>Roche Holding AG</v>
    <v>49.9</v>
    <v>Roche Holding AG</v>
    <v>50.48</v>
    <v>49.96</v>
    <v>50.99</v>
    <v>RHHBY</v>
    <v>Roche Holding AG (OTCM:RHHBY)</v>
    <v>1966</v>
    <v>580591</v>
    <v>2143400</v>
    <v>USD</v>
  </rv>
  <rv s="2">
    <v>658</v>
  </rv>
  <rv s="1">
    <v>de-DE</v>
    <v>a226jc</v>
    <v>268435456</v>
    <v>1</v>
    <v>Unterstützt von Refinitiv</v>
    <v>0</v>
    <v>1</v>
    <v>ROCKWELL AUTOMATION, INC. (XNYS:ROK)</v>
    <v>3</v>
    <v>4</v>
    <v>Finance</v>
    <v>5</v>
    <v>438.72</v>
    <v>222.06</v>
    <v>3.6200999999999999</v>
    <v>9.1090000000000008E-3</v>
    <v>112357900</v>
    <v>Rockwell Automation, Inc. Beschäftigt sich mit der industriellen Automatisierung und digitalen Transformation. Das Unternehmen ist in drei Segmenten tätig: Intelligente Geräte, Software &amp; Steuerung und Lifecycle Services. Das umfassende Portfolio des Segments Intelligente Geräte umfasst Leistungssteuerung, Bewegungssteuerung, Sicherheit, Sensorik und industrielle Komponenten, und Mikrosteuerung und verteilter Eingang/Ausgang. Das Geschäftssegment Software &amp; Control umfasst ein umfassendes Portfolio an Plattformen für die Produktionsautomatisierung und den Produktionsbetrieb, einschließlich Hardware und Software. Dieses integrierte Portfolio vereint Informationstechnologie (IT) und Betriebstechnologie (OT) und bringt die Vorteile des vernetzten Unternehmens in das Produktionssystem. Das Segment Lifecycle Services umfasst Beratungsdienstleistungen, einschließlich Strategien für Cybersicherheit und digitale Transformation sowie Design- und professionelle Services, einschließlich globaler Automatisierungs- und Informationsprogramme sowie Projektmanagement- und -Bereitstellungsfunktionen.</v>
    <v>1.5682</v>
    <v>45057776293</v>
    <v>New York Stock Exchange</v>
    <v>XNYS</v>
    <v>XNYS</v>
    <v>1201 South 2Nd Street, MILWAUKEE, WI, 53204 US</v>
    <v>405.05500000000001</v>
    <v>Machinery, Equipment &amp; Components</v>
    <v>Aktie</v>
    <v>45.872300000000003</v>
    <v>300</v>
    <v>46128.710667765627</v>
    <v>26000</v>
    <v>ROCKWELL AUTOMATION, INC.</v>
    <v>397.41</v>
    <v>ROCKWELL AUTOMATION, INC.</v>
    <v>399.9</v>
    <v>401.02010000000001</v>
    <v>397.4</v>
    <v>ROK</v>
    <v>ROCKWELL AUTOMATION, INC. (XNYS:ROK)</v>
    <v>1996</v>
    <v>206957</v>
    <v>844617</v>
    <v>USD</v>
  </rv>
  <rv s="2">
    <v>660</v>
  </rv>
  <rv s="1">
    <v>de-DE</v>
    <v>a1ry3m</v>
    <v>268435456</v>
    <v>1</v>
    <v>Unterstützt von Refinitiv</v>
    <v>0</v>
    <v>1</v>
    <v>EMERSON ELECTRIC CO. (XNYS:EMR)</v>
    <v>3</v>
    <v>4</v>
    <v>Finance</v>
    <v>5</v>
    <v>165.15</v>
    <v>95.31</v>
    <v>-0.66</v>
    <v>-4.7010000000000003E-3</v>
    <v>562000000</v>
    <v>Emerson Electric Co. Ist ein globales Technologie- und Softwareunternehmen, das Lösungen für Kunden in einer Vielzahl von Endmärkten weltweit anbietet. Das Unternehmen ist in sieben Segmenten in zwei Unternehmensgruppen tätig, darunter intelligente Geräte und Software und Steuerung. Der Geschäftsbereich Intelligente Geräte umfasst Endkontrolle, Messung und Analyse, diskrete Automatisierung sowie Sicherheit und Produktivität. Software- und Steuerungsgeschäft umfasst Steuerungssysteme und -Software, Test- und Messtechnik sowie AspenTech. Das Segment Final Control ist ein globaler Anbieter von Steuerventilen, Absperrventilen, Absperrventilen, Überdruckventilen, Drucksicherheitsventilen, Aktuatoren und Regler für die Prozess- und Hybridindustrie. Das Segment Measurement &amp; Analytical ist ein Anbieter intelligenter Messgeräte zur Messung der physikalischen Eigenschaften von Flüssigkeiten oder Gasen. Das Segment AspenTech bietet Software zur Anlagenoptimierung, mit der Industriehersteller ihre Betriebsabläufe entwickeln, betreiben und warten können.</v>
    <v>1.2881</v>
    <v>78533880000</v>
    <v>New York Stock Exchange</v>
    <v>XNYS</v>
    <v>XNYS</v>
    <v>8027 Forsyth Boulevard,, ST. LOUIS, MO, 63105 US</v>
    <v>141.76</v>
    <v>Machinery, Equipment &amp; Components</v>
    <v>Aktie</v>
    <v>34.262599999999999</v>
    <v>303</v>
    <v>46128.710836700782</v>
    <v>71000</v>
    <v>EMERSON ELECTRIC CO.</v>
    <v>139.405</v>
    <v>EMERSON ELECTRIC CO.</v>
    <v>140.83000000000001</v>
    <v>139.74</v>
    <v>140.4</v>
    <v>EMR</v>
    <v>EMERSON ELECTRIC CO. (XNYS:EMR)</v>
    <v>1890</v>
    <v>1076690</v>
    <v>2998889</v>
    <v>USD</v>
  </rv>
  <rv s="2">
    <v>662</v>
  </rv>
  <rv s="1">
    <v>de-DE</v>
    <v>a1ut3m</v>
    <v>268435456</v>
    <v>1</v>
    <v>Unterstützt von Refinitiv</v>
    <v>0</v>
    <v>1</v>
    <v>HONEYWELL INTERNATIONAL INCORPORATION (XNAS:HON)</v>
    <v>3</v>
    <v>4</v>
    <v>Finance</v>
    <v>5</v>
    <v>248.18</v>
    <v>181.0087</v>
    <v>-1.635</v>
    <v>-7.0420000000000005E-3</v>
    <v>633653100</v>
    <v>Honeywell International Inc. ist ein integriertes Unternehmen, das eine Reihe von Branchen und Regionen auf der ganzen Welt bedient. Das Portfolio basiert auf dem Betriebssystem Honeywell Accelerator und der Plattform Honeywell Forge. Das Unternehmen bietet umsetzbare Lösungen für Luft- und Raumfahrt, Gebäudeautomation, Industrieautomation, Prozessautomatisierung und Pro</v>
    <v>0.90669999999999995</v>
    <v>146091890470</v>
    <v>Nasdaq Stock Market</v>
    <v>XNAS</v>
    <v>XNAS</v>
    <v>855 S. Mint Street, CHARLOTTE, NC, 28202 US</v>
    <v>233.6</v>
    <v>Consumer Goods Conglomerates</v>
    <v>Aktie</v>
    <v>33.538699999999999</v>
    <v>306</v>
    <v>46128.710827210154</v>
    <v>101000</v>
    <v>HONEYWELL INTERNATIONAL INCORPORATION</v>
    <v>230.28</v>
    <v>HONEYWELL INTERNATIONAL INCORPORATION</v>
    <v>231.7</v>
    <v>230.55500000000001</v>
    <v>232.19</v>
    <v>HON</v>
    <v>HONEYWELL INTERNATIONAL INCORPORATION (XNAS:HON)</v>
    <v>1985</v>
    <v>944916</v>
    <v>3639463</v>
    <v>USD</v>
  </rv>
  <rv s="2">
    <v>664</v>
  </rv>
  <rv s="1">
    <v>de-DE</v>
    <v>a2gcur</v>
    <v>268435456</v>
    <v>1</v>
    <v>Unterstützt von Refinitiv</v>
    <v>0</v>
    <v>1</v>
    <v>FANUC CORPORATION (OTCM:FANUY)</v>
    <v>3</v>
    <v>40</v>
    <v>Finance</v>
    <v>7</v>
    <v>23</v>
    <v>11.48</v>
    <v>0.11</v>
    <v>5.6320000000000007E-3</v>
    <v>982383500</v>
    <v>Fanuc Corp ist ein in Japan ansässiges Unternehmen, das sich hauptsächlich mit der Entwicklung, Herstellung und dem Verkauf von computergesteuerten Steuersystemen (CNC) befasst, die in Produktionssystemen durch Automatisierung und deren Anwendungsprodukten auf CNC-Systemtechnologie als umfassender Anbieter von Fabrikautomatisierung (FA) eingesetzt werden. Der Geschäftsbereich FA ist in der Entwicklung, Herstellung und dem Verkauf von FA-Produkten wie CNC-Systemen und Laserprodukten tätig. Der Geschäftsbereich Robot ist in der Entwicklung, Herstellung und dem Verkauf von Robotersystemen und anderen Roboterprodukten tätig. Der Geschäftsbereich Robot Machine beschäftigt sich mit der Entwicklung, Herstellung und dem Verkauf von kleinen Schneidemaschinen, elektrischen Spritzgussmaschinen, Drahtreladewerkzeugen und anderen Produkten.</v>
    <v>1.4244000000000001</v>
    <v>6513203000000</v>
    <v>OTC Markets</v>
    <v>OTCM</v>
    <v>OTCM</v>
    <v>3580, Shibokusa, Oshino-mura, MINAMITSURU-GUN, YAMANASHI-KEN, 401-0597 JP</v>
    <v>20.45</v>
    <v>Machinery, Equipment &amp; Components</v>
    <v>Aktie</v>
    <v>0</v>
    <v>309</v>
    <v>46128.700410323436</v>
    <v>10113</v>
    <v>FANUC CORPORATION</v>
    <v>19.55</v>
    <v>FANUC CORPORATION</v>
    <v>20.45</v>
    <v>19.64</v>
    <v>19.53</v>
    <v>FANUY</v>
    <v>FANUC CORPORATION (OTCM:FANUY)</v>
    <v>1972</v>
    <v>164071</v>
    <v>4935190</v>
    <v>USD</v>
  </rv>
  <rv s="2">
    <v>666</v>
  </rv>
  <rv s="1">
    <v>de-DE</v>
    <v>a244ur</v>
    <v>268435456</v>
    <v>1</v>
    <v>Unterstützt von Refinitiv</v>
    <v>0</v>
    <v>1</v>
    <v>TERADYNE, INC. (XNAS:TER)</v>
    <v>3</v>
    <v>4</v>
    <v>Finance</v>
    <v>5</v>
    <v>373</v>
    <v>68.239999999999995</v>
    <v>-3.76</v>
    <v>-1.0302E-2</v>
    <v>156559400</v>
    <v>Teradyne, Inc. Ist ein globaler Anbieter von automatisierten Testgeräten und Robotiklösungen. Das Unternehmen entwirft, entwickelt, produziert und verkauft automatisierte Testsysteme und Robotikprodukte. Das Segment umfasst Halbleitertest, Robotik und Produkttest. Das Segment Halbleitertest umfasst Tätigkeiten im Zusammenhang mit der Entwicklung, Herstellung und Vermarktung von Halbleitertestprodukten und -Dienstleistungen, einschließlich Speicher- und Testprodukten auf Systemebene. Das Segment Robotik umfasst Tätigkeiten im Zusammenhang mit der Entwicklung, Herstellung und Vermarktung von kollaborativen Roboterarmen und autonomen mobilen Robotern. Das Segment Product Test umfasst Aktivitäten im Zusammenhang mit der Entwicklung, Herstellung und Vermarktung von Produkten und Dienstleistungen für Verteidigungs-/Luft- und Raumfahrttests, Leiterplattentests, drahtlose Testsysteme und Silizium-Photonik-Tests. Das Angebot umfasst auch Prüfgeräte und -Systeme für die Verteidigung/Luft- und Raumfahrt, Test- und Inspektionssysteme für Leiterplatten (Produktionsplatinen-Test) und drahtlose Testsysteme.</v>
    <v>1.8712</v>
    <v>56549255280</v>
    <v>Nasdaq Stock Market</v>
    <v>XNAS</v>
    <v>XNAS</v>
    <v>600 Riverpark Dr, NORTH READING, MA, 01864-2634 US</v>
    <v>369.3</v>
    <v>Semiconductors &amp; Semiconductor Equipment</v>
    <v>Aktie</v>
    <v>103.7037</v>
    <v>312</v>
    <v>46128.710830080468</v>
    <v>6600</v>
    <v>TERADYNE, INC.</v>
    <v>358.19</v>
    <v>TERADYNE, INC.</v>
    <v>365.74</v>
    <v>361.2</v>
    <v>364.96</v>
    <v>TER</v>
    <v>TERADYNE, INC. (XNAS:TER)</v>
    <v>1960</v>
    <v>786095</v>
    <v>3020411</v>
    <v>USD</v>
  </rv>
  <rv s="2">
    <v>668</v>
  </rv>
  <rv s="1">
    <v>de-DE</v>
    <v>bzwqf2</v>
    <v>268435456</v>
    <v>1</v>
    <v>Unterstützt von Refinitiv</v>
    <v>0</v>
    <v>1</v>
    <v>SYMBOTIC INC. (XNAS:SYM)</v>
    <v>3</v>
    <v>4</v>
    <v>Finance</v>
    <v>5</v>
    <v>87.88</v>
    <v>19.14</v>
    <v>0.49990000000000001</v>
    <v>8.5100000000000002E-3</v>
    <v>602171800</v>
    <v>Symbotic Inc. ist ein Automatisierungstechnologie-Unternehmen, das die Lieferkette mit einer durchgängigen, Künstlichen Intelligenz (KI) betriebenen Robotik- und Softwareplattform neu definiert. Sie entwickelt, vermarktet und implementiert End-to-End-Technologielösungen, die den Betrieb der Lieferkette verbessern. Es automatisiert die Verarbeitung von Paletten und Kartons in großen Lagern oder Vertriebszentren für einige der Einzelhandels- und Großhandelsunternehmen weltweit. Die Symbotic-Plattform basiert auf einem Ansatz, die Hersteller von Waren mit den Endverbrauchern in einer Weise zu verbinden, die die Unstimmigkeiten zwischen Menge, Zeitpunkt und Ort zwischen den beiden löst und gleichzeitig die Kosten senkt. Es verwendet vollständig autonome Roboter, die gemeinsam von seiner KI-fähigen Systemsoftware gesteuert werden, um maßstäbliche, reale Verbesserungen der Lieferkette zu erzielen. Es bedient verschiedene Branchen: Einzelhandel, Lebensmittelgroßhandel, Konsumgüter, allgemeine Einzelhandelswaren, Schuhe und Bekleidung, und Speisen und Getränke.</v>
    <v>2.1002000000000001</v>
    <v>35672597214</v>
    <v>Nasdaq Stock Market</v>
    <v>XNAS</v>
    <v>XNAS</v>
    <v>200 Research Drive, WILMINGTON, MA, 01887 US</v>
    <v>59.73</v>
    <v>Machinery, Equipment &amp; Components</v>
    <v>Aktie</v>
    <v>0</v>
    <v>315</v>
    <v>46128.710837858591</v>
    <v>2000</v>
    <v>SYMBOTIC INC.</v>
    <v>57.234999999999999</v>
    <v>SYMBOTIC INC.</v>
    <v>59.18</v>
    <v>59.239899999999999</v>
    <v>58.74</v>
    <v>SYM</v>
    <v>SYMBOTIC INC. (XNAS:SYM)</v>
    <v>2022</v>
    <v>466018</v>
    <v>1258403</v>
    <v>USD</v>
  </rv>
  <rv s="2">
    <v>670</v>
  </rv>
  <rv s="1">
    <v>de-DE</v>
    <v>a26fww</v>
    <v>268435456</v>
    <v>1</v>
    <v>Unterstützt von Refinitiv</v>
    <v>0</v>
    <v>1</v>
    <v>ZEBRA TECHNOLOGIES CORPORATION (XNAS:ZBRA)</v>
    <v>3</v>
    <v>4</v>
    <v>Finance</v>
    <v>5</v>
    <v>352.66</v>
    <v>199.05</v>
    <v>3.3029999999999999</v>
    <v>1.4383E-2</v>
    <v>48362610</v>
    <v>Zebra Technologies Corporation ist in der Branche der automatischen Identifikation und Datenerfassung (AIDC) tätig. Das Unternehmen unterstützt Organisationen bei der Überwachung, Vorwegnahme und Beschleunigung von Arbeitsabläufen, indem es ihre Mitarbeiter stärkt und sicherstellt, dass alle und alles sichtbar, vernetzt und vollständig optimiert ist. Das Portfolio umfasst Hardware, Software und Services. Das Unternehmen ist in zwei Segmenten tätig: Asset Intelligence &amp; Tracking (AIT) und Enterprise Visibility &amp; Mobility (EVM). Das Segment AIT beschäftigt sich mit Barcode-Druck und Technologien zur Anlagenverfolgung. Zu den Produktlinien gehören Barcode- und Kartendrucker, RFID-Geräte (Radio Frequency Identification Devices) und Echtzeit-Ortungssysteme (RTLS) sowie Zubehör, einschließlich Etiketten zur Temperaturüberwachung, und Services. Das Segment EVM beschäftigt sich mit Lösungen zur automatischen Informations- und Datenerfassung. Zu den Produktlinien gehören Mobile Computing, Datenerfassung, stationäres industrielles Scannen und maschinelles Sehen, Services und Lösungen zur Workflow-Optimierung.</v>
    <v>1.6745000000000001</v>
    <v>11265731461</v>
    <v>Nasdaq Stock Market</v>
    <v>XNAS</v>
    <v>XNAS</v>
    <v>3 Overlook Point, LINCOLNSHIRE, IL, 60069 US</v>
    <v>233.75</v>
    <v>Electronic Equipment &amp; Parts</v>
    <v>Aktie</v>
    <v>28.521100000000001</v>
    <v>318</v>
    <v>46128.710853113284</v>
    <v>10700</v>
    <v>ZEBRA TECHNOLOGIES CORPORATION</v>
    <v>230.13499999999999</v>
    <v>ZEBRA TECHNOLOGIES CORPORATION</v>
    <v>230.36</v>
    <v>232.94300000000001</v>
    <v>229.64</v>
    <v>ZBRA</v>
    <v>ZEBRA TECHNOLOGIES CORPORATION (XNAS:ZBRA)</v>
    <v>1991</v>
    <v>358560</v>
    <v>699698</v>
    <v>USD</v>
  </rv>
  <rv s="2">
    <v>672</v>
  </rv>
  <rv s="1">
    <v>de-DE</v>
    <v>a1pkf2</v>
    <v>268435456</v>
    <v>1</v>
    <v>Unterstützt von Refinitiv</v>
    <v>0</v>
    <v>1</v>
    <v>COGNEX CORPORATION (XNAS:CGNX)</v>
    <v>3</v>
    <v>4</v>
    <v>Finance</v>
    <v>5</v>
    <v>59.88</v>
    <v>22.85</v>
    <v>0.05</v>
    <v>9.1509999999999996E-4</v>
    <v>167013900</v>
    <v>Cognex Corporation erfindet und vermarktet Technologien, die verschiedene kritische Herausforderungen in der Fertigung und im Vertrieb angehen. Das Unternehmen ist ein weltweiter Anbieter von Bildverarbeitungsprodukten und -lösungen, die die Effizienz und Qualität in Unternehmen in allen industriellen Endmärkten verbessern. Das Unternehmen ist im Bereich der machine vision technology segment. Die Lösungen des Unternehmens kombinieren physische Produkte und Software zur Erfassung und Analyse visueller Informationen und ermöglichen so die Automatisierung von Fertigungs- und Vertriebsaufgaben für Kunden weltweit. Machine vision werden eingesetzt, um die Herstellung oder den Vertrieb und die Nachverfolgung diskreter Gegenstände wie Mobiltelefone, Batterien für Elektrofahrzeuge und E-Commerce-Pakete zu automatisieren, indem sie lokalisiert, identifiziert, inspiziert und vermessen werden. Machine vision ist wichtig für Anwendungen, bei denen das menschliche Sehen nicht ausreicht, um die Anforderungen an Größe, Genauigkeit oder Geschwindigkeit zu erfüllen, oder in Fällen, in denen erhebliche Kosteneinsparungen oder Qualitätsverbesserungen erzielt werden sollen.</v>
    <v>1.4944</v>
    <v>9133990191</v>
    <v>Nasdaq Stock Market</v>
    <v>XNAS</v>
    <v>XNAS</v>
    <v>One Vision Drive, NATICK, MA, 01760 US</v>
    <v>55.08</v>
    <v>Machinery, Equipment &amp; Components</v>
    <v>Aktie</v>
    <v>80.842600000000004</v>
    <v>321</v>
    <v>46128.710798344531</v>
    <v>2745</v>
    <v>COGNEX CORPORATION</v>
    <v>54.06</v>
    <v>COGNEX CORPORATION</v>
    <v>54.71</v>
    <v>54.69</v>
    <v>54.64</v>
    <v>CGNX</v>
    <v>COGNEX CORPORATION (XNAS:CGNX)</v>
    <v>1981</v>
    <v>369540</v>
    <v>1793570</v>
    <v>USD</v>
  </rv>
  <rv s="2">
    <v>674</v>
  </rv>
  <rv s="1">
    <v>de-DE</v>
    <v>a1o4ec</v>
    <v>268435456</v>
    <v>1</v>
    <v>Unterstützt von Refinitiv</v>
    <v>0</v>
    <v>1</v>
    <v>THE BOEING COMPANY (XNYS:BA)</v>
    <v>3</v>
    <v>4</v>
    <v>Finance</v>
    <v>5</v>
    <v>254.34989999999999</v>
    <v>153.54499999999999</v>
    <v>-6.89</v>
    <v>-3.0769000000000001E-2</v>
    <v>785844100</v>
    <v>Boeing Company ist ein Luft- und Raumfahrtunternehmen. Zu seinen Geschäftsbereichen gehören Verkehrsflugzeuge (BCA), Verteidigung, Raumfahrt und Sicherheit (BDS) sowie Global Services (BGS). Das Segment BCA entwickelt, produziert und vermarktet Verkehrsflugzeuge hauptsächlich für die kommerzielle Luftfahrtindustrie weltweit. Die Familie der produzierten Verkehrsflugzeuge umfasst das Schmalrumpfflugzeug 737 sowie die Großraumflugzeuge 767, 777 und 787. Das Segment BDS befasst sich mit der Forschung, Entwicklung, Produktion und Modifikation von bemannten und unbemannten Militärflugzeugen und Waffensystemen für Angriff, Überwachung und Mobilität. Das Segment BGS erbringt Dienstleistungen für seine zivilen und militärischen Kunden weltweit. Es unterhält Luft- und Raumfahrtplattformen und -systeme mit einer Reihe von Produkten und Dienstleistungen, darunter Lieferketten- und Logistikmanagement, Engineering, Wartung und Modifikationen, Upgrades und Umrüstungen, Ersatzteile, Piloten- und Wartungsschulungssysteme und -dienstleistungen, technische und Wartungsdokumente und anderes.</v>
    <v>1.2033</v>
    <v>170559603464</v>
    <v>New York Stock Exchange</v>
    <v>XNYS</v>
    <v>XNYS</v>
    <v>929 Long Bridge Drive, ARLINGTON, VA, 22202 US</v>
    <v>225.1</v>
    <v>Aerospace &amp; Defense</v>
    <v>Aktie</v>
    <v>97.712900000000005</v>
    <v>324</v>
    <v>46128.710859548439</v>
    <v>182000</v>
    <v>THE BOEING COMPANY</v>
    <v>215.4</v>
    <v>THE BOEING COMPANY</v>
    <v>225</v>
    <v>217.04</v>
    <v>223.93</v>
    <v>BA</v>
    <v>THE BOEING COMPANY (XNYS:BA)</v>
    <v>1934</v>
    <v>3962739</v>
    <v>6797432</v>
    <v>USD</v>
  </rv>
  <rv s="2">
    <v>676</v>
  </rv>
  <rv s="1">
    <v>de-DE</v>
    <v>a1n75r</v>
    <v>268435456</v>
    <v>1</v>
    <v>Unterstützt von Refinitiv</v>
    <v>0</v>
    <v>1</v>
    <v>AIR INDUSTRIES GROUP (XNYS:AIRI)</v>
    <v>3</v>
    <v>4</v>
    <v>Finance</v>
    <v>5</v>
    <v>4.17</v>
    <v>2.5499999999999998</v>
    <v>0.02</v>
    <v>6.2309999999999996E-3</v>
    <v>4781050</v>
    <v>Die Air Industries Group ist ein Hersteller von Präzisionskomponenten und -Baugruppen für Großunternehmen in der Luft- und Raumfahrt und im Verteidigungsbereich. Zu den Produkten gehören Fahrwerke, Flugsteuerungen, Motorlager und Komponenten für Flugzeugtriebwerke, Bodenturbinen und andere komplexe Maschinen. Der Endverbraucher für die meisten seiner Produkte ist die US-Regierung, internationale Regierungen und kommerzielle globale Fluggesellschaften. Unabhängig davon, ob es sich um eine kleine Einzelkomponente oder eine komplette Baugruppe handelt, werden seine Produkte in unternehmenskritischen Operationen eingesetzt, die für die Sicherheit von Militär und Zivilisten von grundlegender Bedeutung sind. Seine Plattformen und Programme umfassen den E-2D Hawkeye, UH-60 Black Hawk Helicopter, die Pratt &amp; Whitney Geared Turbo-Fan Engine (GTF), den CH-53 Hubschrauber (einschließlich der CH53K Variante), den F-35 Lightning II (auch bekannt als Joint Strike Fighter), den F-18 Hornet und den F-15 Eagle Tactical Fighter. Zu den Tochtergesellschaften zählen Air Industries Machining, Nassau Tool Works und Sterling Engineering Company.</v>
    <v>9.1399999999999995E-2</v>
    <v>15442791</v>
    <v>New York Stock Exchange</v>
    <v>XNYS</v>
    <v>XNYS</v>
    <v>1460 Fifth Avenue, BAY SHORE, NY, 11706 US</v>
    <v>3.24</v>
    <v>Aerospace &amp; Defense</v>
    <v>Aktie</v>
    <v>0</v>
    <v>327</v>
    <v>46128.705540566407</v>
    <v>160</v>
    <v>AIR INDUSTRIES GROUP</v>
    <v>3.1669999999999998</v>
    <v>AIR INDUSTRIES GROUP</v>
    <v>3.1669999999999998</v>
    <v>3.23</v>
    <v>3.21</v>
    <v>AIRI</v>
    <v>AIR INDUSTRIES GROUP (XNYS:AIRI)</v>
    <v>2013</v>
    <v>20307</v>
    <v>55177</v>
    <v>USD</v>
  </rv>
  <rv s="2">
    <v>678</v>
  </rv>
  <rv s="1">
    <v>de-DE</v>
    <v>a1wzw7</v>
    <v>268435456</v>
    <v>1</v>
    <v>Unterstützt von Refinitiv</v>
    <v>0</v>
    <v>1</v>
    <v>LOCKHEED MARTIN CORPORATION (XNYS:LMT)</v>
    <v>3</v>
    <v>4</v>
    <v>Finance</v>
    <v>5</v>
    <v>692</v>
    <v>410.11</v>
    <v>-8.6449999999999996</v>
    <v>-1.4147E-2</v>
    <v>230462100</v>
    <v>Lockheed Martin Corporation ist ein weltweit tätiges Luft- und Raumfahrt- sowie Verteidigungsunternehmen. Das Unternehmen befasst sich mit der Forschung, dem Design, der Entwicklung, der Herstellung, der Integration und der Wartung von Systemen, Produkten und Dienstleistungen der Spitzentechnologie. Zu den Geschäftsbereichen gehören Aeronautics, Missiles and Fire Control (MFC), Rotary and Mission Systems (RMS) und Space. Das Segment Aeronautics befasst sich mit der Forschung, dem Design, der Entwicklung, der Herstellung, der Integration, der Instandhaltung, der Unterstützung und der Aufrüstung von modernen Militärflugzeugen. Das MFC-Segment bietet unter anderem Luft- und Raketenabwehrsysteme, bemannte und unbemannte Bodenfahrzeuge sowie Energiemanagementlösungen an. Das Segment RMS entwickelt, fertigt, wartet und unterstützt verschiedene militärische und kommerzielle Hubschrauber, Überwasserschiffe, see- und landgestützte Raketenabwehrsysteme und andere. Das Segment Raumfahrt befasst sich mit der Forschung und dem Design, der Entwicklung, dem Engineering und der Produktion von Satelliten, Raumtransportsystemen und strategischen, fortschrittlichen Angriffs- und Verteidigungssystemen.</v>
    <v>0.22819999999999999</v>
    <v>138843044455</v>
    <v>New York Stock Exchange</v>
    <v>XNYS</v>
    <v>XNYS</v>
    <v>6801 ROCKLEDGE DR BETHESDA, MD, 20817 US</v>
    <v>612.57000000000005</v>
    <v>Aerospace &amp; Defense</v>
    <v>Aktie</v>
    <v>28.039300000000001</v>
    <v>330</v>
    <v>46128.710863251559</v>
    <v>123000</v>
    <v>LOCKHEED MARTIN CORPORATION</v>
    <v>601.41</v>
    <v>LOCKHEED MARTIN CORPORATION</v>
    <v>610.07000000000005</v>
    <v>602.45500000000004</v>
    <v>611.1</v>
    <v>LMT</v>
    <v>LOCKHEED MARTIN CORPORATION (XNYS:LMT)</v>
    <v>1994</v>
    <v>379485</v>
    <v>1371202</v>
    <v>USD</v>
  </rv>
  <rv s="2">
    <v>680</v>
  </rv>
  <rv s="1">
    <v>de-DE</v>
    <v>a25552</v>
    <v>268435456</v>
    <v>1</v>
    <v>Unterstützt von Refinitiv</v>
    <v>0</v>
    <v>1</v>
    <v>RTX CORPORATION (XNYS:RTX)</v>
    <v>3</v>
    <v>4</v>
    <v>Finance</v>
    <v>5</v>
    <v>214.5</v>
    <v>112.63</v>
    <v>-4.26</v>
    <v>-2.1472999999999999E-2</v>
    <v>1345974000</v>
    <v>RTX Corporation ist ein Luft- und Raumfahrt- sowie Verteidigungsunternehmen, das fortschrittliche Systeme und Dienstleistungen für kommerzielle, militärische und staatliche Kunden weltweit anbietet. Das Unternehmen ist in drei Segmenten tätig: Collins Aerospace, Pratt &amp; Whitney, und Raytheon. Das Segment Collins Aerospace bietet technologisch fortschrittliche Luft- und Raumfahrt- und Verteidigungsprodukte sowie Servicelösungen für zivile und militärische Flugzeughersteller, kommerzielle Fluggesellschaften, die Regional-, Geschäfts- und allgemeine Luftfahrt sowie für Verteidigungs- und kommerzielle Raumfahrtunternehmen. Das Segment Pratt &amp; Whitney liefert Flugzeugtriebwerke für zivile und militärische Kunden, Geschäftsflugzeuge und die allgemeine Luftfahrt. Das Segment Raytheon bietet Defensiv- und Offensivfähigkeiten zur Erkennung, Verfolgung und Abwehr von Bedrohungen für US-amerikanische und ausländische Regierungs- und Geschäftskunden. Raytheon entwirft, entwickelt und liefert fortschrittliche Fähigkeiten in den Bereichen integrierte Luft- und Raketenabwehr, intelligente Waffen, Raketen und andere.</v>
    <v>0.40310000000000001</v>
    <v>261293932620</v>
    <v>New York Stock Exchange</v>
    <v>XNYS</v>
    <v>XNYS</v>
    <v>1000 Wilson Blvd, ARLINGTON, VA, 22209 US</v>
    <v>199.92</v>
    <v>Aerospace &amp; Defense</v>
    <v>Aktie</v>
    <v>39.114699999999999</v>
    <v>333</v>
    <v>46128.710868911716</v>
    <v>180000</v>
    <v>RTX CORPORATION</v>
    <v>193.91</v>
    <v>RTX CORPORATION</v>
    <v>198.4</v>
    <v>194.13</v>
    <v>198.39</v>
    <v>RTX</v>
    <v>RTX CORPORATION (XNYS:RTX)</v>
    <v>1934</v>
    <v>1741512</v>
    <v>4403418</v>
    <v>USD</v>
  </rv>
  <rv s="2">
    <v>682</v>
  </rv>
  <rv s="1">
    <v>de-DE</v>
    <v>a1yngh</v>
    <v>268435456</v>
    <v>1</v>
    <v>Unterstützt von Refinitiv</v>
    <v>0</v>
    <v>1</v>
    <v>NORTHROP GRUMMAN CORPORATION (XNYS:NOC)</v>
    <v>3</v>
    <v>4</v>
    <v>Finance</v>
    <v>5</v>
    <v>774</v>
    <v>450.13</v>
    <v>-8.02</v>
    <v>-1.1819E-2</v>
    <v>142033200</v>
    <v>Die Northrop Grumman Corporation ist ein weltweit tätiges Unternehmen in der Luft- und Raumfahrt sowie in der Verteidigungstechnik. Zu den Segmenten gehören Aeronautics Systems, Defense Systems, Mission Systems und Space Systems. Aeronautics Systems beschäftigt sich mit Entwurf, Entwicklung, Produktion, Integration, Erhaltung und Modernisierung von militärischen Flugzeugsystemen für die United States Air Force, die United States Navy, andere Regierungsbehörden der Vereinigten Staaten und internationale Kunden. Defense Systems beschäftigt sich mit der Entwicklung, Entwicklung, Integration und Herstellung von Abschreckungssystemen, fortschrittlichen taktischen Waffen und Raketenabwehrlösungen. Mission Systems ist ein Anbieter von Missionslösungen und Multifunktionssystemen. Zu den Produkten und Dienstleistungen des Unternehmens gehören Befehls-, Steuerungs-, Kommunikations- und Computersysteme sowie Aufklärungssysteme (C4ISR). Space Systems bietet End-to-End-Missionslösungen durch Design, Entwicklung, Integration, Produktion und Betrieb von Raumfahrt-, Raketenabwehr- und Trägersystemen.</v>
    <v>4.5999999999999999E-3</v>
    <v>95243202924</v>
    <v>New York Stock Exchange</v>
    <v>XNYS</v>
    <v>XNYS</v>
    <v>2980 Fairview Park Drive, FALLS CHURCH, VA, 22042 US</v>
    <v>680.23500000000001</v>
    <v>Aerospace &amp; Defense</v>
    <v>Aktie</v>
    <v>23.0578</v>
    <v>336</v>
    <v>46128.710829756252</v>
    <v>95000</v>
    <v>NORTHROP GRUMMAN CORPORATION</v>
    <v>669.89499999999998</v>
    <v>NORTHROP GRUMMAN CORPORATION</v>
    <v>679</v>
    <v>670.57</v>
    <v>678.59</v>
    <v>NOC</v>
    <v>NORTHROP GRUMMAN CORPORATION (XNYS:NOC)</v>
    <v>2010</v>
    <v>191997</v>
    <v>728995</v>
    <v>USD</v>
  </rv>
  <rv s="2">
    <v>684</v>
  </rv>
  <rv s="1">
    <v>de-DE</v>
    <v>a1tppr</v>
    <v>268435456</v>
    <v>1</v>
    <v>Unterstützt von Refinitiv</v>
    <v>0</v>
    <v>1</v>
    <v>GENERAL DYNAMICS CORPORATION (XNYS:GD)</v>
    <v>3</v>
    <v>4</v>
    <v>Finance</v>
    <v>5</v>
    <v>369.7</v>
    <v>262.83999999999997</v>
    <v>-6.35</v>
    <v>-1.8737999999999998E-2</v>
    <v>270845900</v>
    <v>General Dynamics Corporation ist ein globales Luft- und Raumfahrt- sowie Verteidigungsunternehmen. Es bietet ein Portfolio von Produkten und Dienstleistungen in den Bereichen Geschäftsluftfahrt, Schiffsbau und -reparatur, Landkampffahrzeuge, Waffensysteme und Munition sowie Technologieprodukte und -dienstleistungen. Zu den Segmenten gehören Luft- und Raumfahrt, Marinesysteme, Kampfsysteme und Technologien. Das Segment Luft- und Raumfahrt produziert Geschäftsreiseflugzeuge und ist führend in den Bereichen Flugzeuge neuer Technologie, Flugzeugreparatur, Kundensupport und kundenspezifische Fertigstellungsdienstleistungen. Das Segment Marinesysteme entwickelt und baut atomgetriebene U-Boote und beschäftigt sich mit der Entwicklung und dem Bau von Überwasserkampfschiffen und Hilfsschiffen für die US Navy. Das Segment Kampfsysteme fertigt weltweit Landkampflösungen, darunter Rad- und Kettenkampffahrzeuge, Waffensysteme und Munition. Das Segment Technologien bietet ein umfassendes Spektrum an Dienstleistungen, Technologien und Produkten für eine Reihe von Kunden aus den Bereichen Militär, Geheimdienste, Bund, Zivilbevölkerung und Länder.</v>
    <v>0.3518</v>
    <v>90064387127</v>
    <v>New York Stock Exchange</v>
    <v>XNYS</v>
    <v>XNYS</v>
    <v>11011 Sunset Hills Rd, RESTON, VA, 20190 US</v>
    <v>341.3</v>
    <v>Aerospace &amp; Defense</v>
    <v>Aktie</v>
    <v>21.517700000000001</v>
    <v>339</v>
    <v>46128.71084229141</v>
    <v>117000</v>
    <v>GENERAL DYNAMICS CORPORATION</v>
    <v>331.92</v>
    <v>GENERAL DYNAMICS CORPORATION</v>
    <v>340.59</v>
    <v>332.53</v>
    <v>338.88</v>
    <v>GD</v>
    <v>GENERAL DYNAMICS CORPORATION (XNYS:GD)</v>
    <v>1952</v>
    <v>644344</v>
    <v>1331944</v>
    <v>USD</v>
  </rv>
  <rv s="2">
    <v>686</v>
  </rv>
  <rv s="1">
    <v>de-DE</v>
    <v>bwtkp2</v>
    <v>268435456</v>
    <v>1</v>
    <v>Unterstützt von Refinitiv</v>
    <v>0</v>
    <v>1</v>
    <v>ROCKET LAB CORPORATION (XNAS:RKLB)</v>
    <v>3</v>
    <v>4</v>
    <v>Finance</v>
    <v>5</v>
    <v>99.58</v>
    <v>18.21</v>
    <v>6.75</v>
    <v>9.1712000000000002E-2</v>
    <v>577934400</v>
    <v>Rocket Lab Corporation ist ein durchgängiges Raumfahrtunternehmen. Das Unternehmen entwickelt und produziert Raketen der kleinen und mittleren Klasse, Raumfahrzeuge und Komponenten von Raumfahrzeugen sowie zugehörige Software und Dienstleistungen zur Unterstützung der Raumfahrtwirtschaft. Das Unternehmen liefert zuverlässige Startdienste, Satellitenfertigung, Raumfahrzeugkonstruktion, Komponenten von Raumfahrzeugen, Raumfahrzeugbau, und andere Lösungen für Raumfahrzeuge und die Verwaltung auf der Umlaufbahn, die den Zugang zum Raum erleichtern. Das Segment „Launch Services“ bietet Kunden auf der Basis von Mission oder Ride-Share Services für die Markteinführung und die Markteinführung an. Das Segment Space Systems umfasst die Entwicklung und Herstellung von Komponenten für Raumfahrzeuge und Programmverwaltungsdienste für Raumfahrzeuge, Anwendungen für Raumdaten und Missionsoperationen. Die Lösungen der Raumfahrtsysteme sind die Bausteine für Raumfahrzeuge, zu denen Verbundstrukturen, Reaktionsräder, Sternverfolger, Solarlösungen, Funkgeräte, Trennsysteme und Kommandos- und Steuerungssoftware für Raumfahrzeuge.</v>
    <v>2.2706</v>
    <v>46437029040</v>
    <v>Nasdaq Stock Market</v>
    <v>XNAS</v>
    <v>XNAS</v>
    <v>3881 Mcgowen Street, LONG BEACH, CA, 90808 US</v>
    <v>82.02</v>
    <v>Aerospace &amp; Defense</v>
    <v>Aktie</v>
    <v>0</v>
    <v>345</v>
    <v>46128.710892488278</v>
    <v>2600</v>
    <v>ROCKET LAB CORPORATION</v>
    <v>76.900000000000006</v>
    <v>ROCKET LAB CORPORATION</v>
    <v>76.92</v>
    <v>80.349999999999994</v>
    <v>73.599999999999994</v>
    <v>RKLB</v>
    <v>ROCKET LAB CORPORATION (XNAS:RKLB)</v>
    <v>2025</v>
    <v>27379499</v>
    <v>24093606</v>
    <v>USD</v>
  </rv>
  <rv s="2">
    <v>688</v>
  </rv>
  <rv s="1">
    <v>de-DE</v>
    <v>a1uvar</v>
    <v>268435456</v>
    <v>1</v>
    <v>Unterstützt von Refinitiv</v>
    <v>0</v>
    <v>1</v>
    <v>L3HARRIS TECHNOLOGIES, INC. (XNYS:LHX)</v>
    <v>3</v>
    <v>4</v>
    <v>Finance</v>
    <v>5</v>
    <v>379.23</v>
    <v>208.11009999999999</v>
    <v>-3.3050000000000002</v>
    <v>-9.2859999999999991E-3</v>
    <v>186785900</v>
    <v>L3Harris Technologies, Inc. bietet im Interesse der nationalen Sicherheit durchgängige Technologielösungen an, die die Bereiche Weltraum, Luft, Land, See und Cyberspace verbinden. Zu den Geschäftsbereichen zählen Space &amp; Airborne Systems (SAS), Integrated Mission Systems (IMS), Communication Systems (CS) und Aerojet Rocketdyne (AR). Der Geschäftsbereich SAS liefert als Haupt- und Subsystemintegrator komplette Missionslösungen in den Bereichen Weltraum, Luft und Cyberspace. Der Geschäftsbereich IMS liefert differenzierte Missionsfähigkeiten und erstklassige Systemintegration zur Unterstützung von Nachrichtendiensten, Aufklärung und Überwachung (ISR), passiver Sensorik und Zielerfassung, elektronischen Angriffen, Autonomie, Energieversorgung und Kommunikation, Netzwerken und Sensoren. CS stattet Soldaten in allen Bereichen mit Lösungen aus, die für den Missionserfolg selbst in umkämpften Umgebungen entscheidend sind. Der Geschäftsbereich AR beliefert die US-Regierung, darunter das Verteidigungsministerium, die NASA und verschiedene Hauptauftragnehmer aus der Luft- und Raumfahrt- sowie Verteidigungsbranche, mit Antriebs-, Energie- und Bewaffnungsprodukten und -systemen.</v>
    <v>0.61109999999999998</v>
    <v>65863510128</v>
    <v>New York Stock Exchange</v>
    <v>XNYS</v>
    <v>XNYS</v>
    <v>1025 W Nasa Blvd, MELBOURNE, FL, 32919-0001 US</v>
    <v>358.92570000000001</v>
    <v>Aerospace &amp; Defense</v>
    <v>Aktie</v>
    <v>41.320799999999998</v>
    <v>348</v>
    <v>46128.710897395315</v>
    <v>45000</v>
    <v>L3HARRIS TECHNOLOGIES, INC.</v>
    <v>351.72</v>
    <v>L3HARRIS TECHNOLOGIES, INC.</v>
    <v>358.21</v>
    <v>352.61500000000001</v>
    <v>355.92</v>
    <v>LHX</v>
    <v>L3HARRIS TECHNOLOGIES, INC. (XNYS:LHX)</v>
    <v>1926</v>
    <v>373936</v>
    <v>1280459</v>
    <v>USD</v>
  </rv>
  <rv s="2">
    <v>690</v>
  </rv>
  <rv s="1">
    <v>de-DE</v>
    <v>a1uozr</v>
    <v>268435456</v>
    <v>1</v>
    <v>Unterstützt von Refinitiv</v>
    <v>0</v>
    <v>1</v>
    <v>HUNTINGTON INGALLS INDUSTRIES, INC. (XNYS:HII)</v>
    <v>3</v>
    <v>4</v>
    <v>Finance</v>
    <v>5</v>
    <v>460</v>
    <v>211.49</v>
    <v>-2.77</v>
    <v>-6.9579999999999998E-3</v>
    <v>39377170</v>
    <v>Huntington Ingalls Industries, Inc. Ist ein weltweit tätiger Anbieter von Verteidigungslösungen. Das Unternehmen liefert Schiffe und Komplettlösungen im Dienste der Nation. Es bietet wichtige Funktionen, die von Schiffen bis hin zu unbemannten Systemen, Cyber-, ISR-, KI/ML- und synthetischen Schulungen reichen. Das Unternehmen ist in drei Segmenten tätig: Ingalls Shipbuilding (Ingalls), Newport News Shipbuilding (Newport News) und Mission Technologies. Durch das Segment Ingalls entwirft und baut die Gesellschaft nicht-nukleare Schiffe für die United States Navy und Coast Guard, darunter amphibische Angriffsschiffe, Expeditionsschiffe, Oberflächenkämpfer und nationale Sicherheitsausschneider (NSC). Das Kerngeschäft des Newport News-Segments ist die Entwicklung und der Bau nuklearbetriebener Flugzeugträger und U-Boote sowie die Betankung und Überholung sowie die Deaktivierung nuklearbetriebener Flugzeugträger. Das Segment Mission Technologies des Unternehmens entwickelt integrierte Lösungen, die vernetzte, domänenübergreifende Kräfte ermöglichen.</v>
    <v>0.36180000000000001</v>
    <v>15568157931</v>
    <v>New York Stock Exchange</v>
    <v>XNYS</v>
    <v>XNYS</v>
    <v>909-7, 7J2, 4101 Washington Avenue, NEWPORT NEWS, VA, 23607 US</v>
    <v>403.94990000000001</v>
    <v>Aerospace &amp; Defense</v>
    <v>Aktie</v>
    <v>25.714099999999998</v>
    <v>351</v>
    <v>46128.710892303126</v>
    <v>44000</v>
    <v>HUNTINGTON INGALLS INDUSTRIES, INC.</v>
    <v>394.05</v>
    <v>HUNTINGTON INGALLS INDUSTRIES, INC.</v>
    <v>399.39</v>
    <v>395.36</v>
    <v>398.13</v>
    <v>HII</v>
    <v>HUNTINGTON INGALLS INDUSTRIES, INC. (XNYS:HII)</v>
    <v>2010</v>
    <v>114862</v>
    <v>469276</v>
    <v>USD</v>
  </rv>
  <rv s="2">
    <v>692</v>
  </rv>
  <rv s="1">
    <v>de-DE</v>
    <v>a1waa2</v>
    <v>268435456</v>
    <v>1</v>
    <v>Unterstützt von Refinitiv</v>
    <v>0</v>
    <v>1</v>
    <v>JPMORGAN CHASE &amp; CO. (XNYS:JPM)</v>
    <v>3</v>
    <v>4</v>
    <v>Finance</v>
    <v>5</v>
    <v>337.25</v>
    <v>226.33600000000001</v>
    <v>2.0049999999999999</v>
    <v>6.5539999999999999E-3</v>
    <v>2682220000</v>
    <v>JPMorgan Chase &amp; Co. Ist eine Finanzholdinggesellschaft. Das Unternehmen ist in den Bereichen Investment Banking, Finanzdienstleistungen für Verbraucher und kleine Unternehmen, Commercial Banking, Verarbeitung von Finanztransaktionen und Vermögensverwaltung tätig. Das Unternehmen ist in drei Segmenten tätig: Consumer &amp; Community Banking (CCB), Commercial &amp; Investment Bank (CIB) und Asset &amp; Wealth Management (AWM). Das CCB-Segment bietet Verbrauchern und kleinen Unternehmen Produkte und Dienstleistungen über Bankfilialen, Geldautomaten, Digital- und Telefonbanking an. Das CIB-Segment umfasst Banken und Zahlungen sowie Märkte und Wertpapierdienstleistungen und bietet eine Reihe von Investmentbanking, Kreditvergabe, Zahlungen, Market-Making, Finanzierung, Verwahrungs- und Wertpapierprodukte und -Dienstleistungen für eine globale Basis von Unternehmens- und institutionellen Kunden. Das AWM-Segment bietet Lösungen für die Investitions- und Vermögensverwaltung. Es bietet Lösungen für das Anlagemanagement mit mehreren Vermögenswerten, Produkte und Dienstleistungen für die Altersvorsorge, Maklervermittlung, Verwahrung, Nachlassplanung und vieles mehr.</v>
    <v>1.0363</v>
    <v>825949415700</v>
    <v>New York Stock Exchange</v>
    <v>XNYS</v>
    <v>XNYS</v>
    <v>270 Park Avenue, NEW YORK, NY, 10017 US</v>
    <v>309.85000000000002</v>
    <v>Banking Services</v>
    <v>Aktie</v>
    <v>15.388400000000001</v>
    <v>354</v>
    <v>46128.710872383592</v>
    <v>320079</v>
    <v>JPMORGAN CHASE &amp; CO.</v>
    <v>305.2</v>
    <v>JPMORGAN CHASE &amp; CO.</v>
    <v>305.5</v>
    <v>307.935</v>
    <v>305.93</v>
    <v>JPM</v>
    <v>JPMORGAN CHASE &amp; CO. (XNYS:JPM)</v>
    <v>1968</v>
    <v>3636909</v>
    <v>10253052</v>
    <v>USD</v>
  </rv>
  <rv s="2">
    <v>694</v>
  </rv>
  <rv s="1">
    <v>de-DE</v>
    <v>a1o4sm</v>
    <v>268435456</v>
    <v>1</v>
    <v>Unterstützt von Refinitiv</v>
    <v>0</v>
    <v>1</v>
    <v>BANK OF AMERICA CORPORATION (XNYS:BAC)</v>
    <v>3</v>
    <v>4</v>
    <v>Finance</v>
    <v>5</v>
    <v>57.55</v>
    <v>36.494999999999997</v>
    <v>-0.63500000000000001</v>
    <v>-1.1690000000000001E-2</v>
    <v>7145709000</v>
    <v>Die Bank of America Corporation ist eine Bank Holding und eine Finanzholdinggesellschaft. Zu den Segmenten zählen Consumer Banking, Global Wealth &amp; Investment Management (GWIM), Global Banking und Global Markets. Das Segment Consumer Banking bietet Verbrauchern und kleinen Unternehmen eine Reihe von Kredit-, Bank- und Anlageprodukten und -Dienstleistungen an. Die GWIM umfasst zwei Geschäftsbereiche: Merrill Wealth Management, die maßgeschneiderte Lösungen für die Bedürfnisse der Kunden durch eine umfassende Palette von Produkten für Anlagemanagement, Maklerwesen, Banken und Altersvorsorge bietet, und Bank of America Private Bank, die umfassende Lösungen für das Vermögensmanagement bereitstellt. Das Segment Global Banking bietet eine Reihe von Produkten und Dienstleistungen im Zusammenhang mit der Kreditvergabe, integrierte Lösungen für das Betriebskapitalmanagement und Treasury sowie Underwriting- und Beratungsdienstleistungen. Das Segment Global Markets bietet Vertriebs- und Handelsdienstleistungen sowie Forschungsdienstleistungen für institutionelle Kunden in den Bereichen Festverzinsung, Kredit, Währung, Rohstoffe und Aktien.</v>
    <v>1.2562</v>
    <v>383617387665</v>
    <v>New York Stock Exchange</v>
    <v>XNYS</v>
    <v>XNYS</v>
    <v>Bank Of America Corporate Center, 100 N Tryon St, CHARLOTTE, NC, 28255 US</v>
    <v>54.51</v>
    <v>Banking Services</v>
    <v>Aktie</v>
    <v>14.1919</v>
    <v>357</v>
    <v>46128.710874096876</v>
    <v>212134</v>
    <v>BANK OF AMERICA CORPORATION</v>
    <v>53.68</v>
    <v>BANK OF AMERICA CORPORATION</v>
    <v>54.05</v>
    <v>53.685000000000002</v>
    <v>54.32</v>
    <v>BAC</v>
    <v>BANK OF AMERICA CORPORATION (XNYS:BAC)</v>
    <v>1998</v>
    <v>17966102</v>
    <v>39651676</v>
    <v>USD</v>
  </rv>
  <rv s="2">
    <v>696</v>
  </rv>
  <rv s="1">
    <v>de-DE</v>
    <v>a25tgh</v>
    <v>268435456</v>
    <v>1</v>
    <v>Unterstützt von Refinitiv</v>
    <v>0</v>
    <v>1</v>
    <v>WELLS FARGO &amp; COMPANY (XNYS:WFC)</v>
    <v>3</v>
    <v>4</v>
    <v>Finance</v>
    <v>5</v>
    <v>97.76</v>
    <v>63.37</v>
    <v>1.135</v>
    <v>1.4135999999999999E-2</v>
    <v>3064300000</v>
    <v>Wells Fargo &amp; Company ist ein Finanzdienstleistungsunternehmen. Das Unternehmen bietet Privatpersonen, Unternehmen und Institutionen ein breites Spektrum an Bank-, Anlage- und Hypothekenprodukten sowie Verbraucher- und Firmenkundenfinanzierungen an. Das Unternehmen ist in vier Segmenten tätig: Privatkundengeschäft und Kreditvergabe, Firmenkundengeschäft, Firmenkunden- und Investmentbanking sowie Vermögens- und Anlageverwaltung. Das Unternehmen bietet Verbrauchern Finanzprodukte und -dienstleistungen an, darunter Giro- und Sparkonten, Kredit- und Debitkarten sowie Auto-, Hypotheken- und Kleinunternehmenskredite. Darüber hinaus bietet das Unternehmen Finanzplanung, Private Banking, Anlageverwaltung und Treuhanddienste an. Darüber hinaus bietet es Unternehmen Finanzlösungen durch Produkte und Dienstleistungen wie traditionelle Geschäftskredite und Kreditlinien, Akkreditive, Asset-Based Lending und Leasing, Handelsfinanzierung, Treasury Management und Investmentbanking-Dienstleistungen.</v>
    <v>0.97870000000000001</v>
    <v>249510627500</v>
    <v>New York Stock Exchange</v>
    <v>XNYS</v>
    <v>XNYS</v>
    <v>420 Montgomery Street, SAN FRANCISCO, CA, 94104 US</v>
    <v>81.864999999999995</v>
    <v>Banking Services</v>
    <v>Aktie</v>
    <v>12.988099999999999</v>
    <v>360</v>
    <v>46128.710910671092</v>
    <v>200999</v>
    <v>WELLS FARGO &amp; COMPANY</v>
    <v>80.03</v>
    <v>WELLS FARGO &amp; COMPANY</v>
    <v>80.099999999999994</v>
    <v>81.424999999999997</v>
    <v>80.290000000000006</v>
    <v>WFC</v>
    <v>WELLS FARGO &amp; COMPANY (XNYS:WFC)</v>
    <v>1929</v>
    <v>10229504</v>
    <v>17337141</v>
    <v>USD</v>
  </rv>
  <rv s="2">
    <v>698</v>
  </rv>
  <rv s="1">
    <v>de-DE</v>
    <v>a1u7xm</v>
    <v>268435456</v>
    <v>1</v>
    <v>Unterstützt von Refinitiv</v>
    <v>0</v>
    <v>1</v>
    <v>THE GOLDMAN SACHS GROUP, INC. (XNYS:GS)</v>
    <v>3</v>
    <v>4</v>
    <v>Finance</v>
    <v>5</v>
    <v>984.7</v>
    <v>492.69</v>
    <v>4.26</v>
    <v>4.7360000000000006E-3</v>
    <v>294993900</v>
    <v>Die Goldman Sachs Group, Inc. Ist ein globales Finanzinstitut, das eine Reihe von Finanzdienstleistungen für eine große und diversifizierte Kundenbasis anbietet, zu der Unternehmen, Finanzinstitute, Regierungen und Einzelpersonen gehören. Zu den Segmenten zählen Global Banking &amp; Markets, Asset &amp; Wealth Management und Plattformlösungen. Das Segment Global Banking &amp; Markets bietet eine Reihe von Dienstleistungen an, darunter Finanzierung, Beratung, Risikoverteilung und Hedging für institutionelle und Unternehmenskunden. Sie erleichtert Kundentransaktionen und macht Märkte für festverzinsliche, Aktien-, Währungs- und Rohstoffprodukte. Das Segment Asset &amp; Wealth Management verwaltet Anlagen und bietet Anlageprodukte über alle Anlageklassen hinweg für verschiedene Kunden an. Sie bietet auch Lösungen für Investitionen und Vermögensberatung. Das Segment Plattformlösungen umfasst Verbraucherplattformen, wie Partnerschaften, die Kreditkarten und POS-Finanzierungen anbieten, sowie Transaction Banking und andere Plattformunternehmen.</v>
    <v>1.2902</v>
    <v>266600737125</v>
    <v>New York Stock Exchange</v>
    <v>XNYS</v>
    <v>XNYS</v>
    <v>200 West St, NEW YORK, NY, 10282 US</v>
    <v>907.96</v>
    <v>Investment Banking &amp; Investment Services</v>
    <v>Aktie</v>
    <v>17.616800000000001</v>
    <v>363</v>
    <v>46128.710730196093</v>
    <v>47000</v>
    <v>THE GOLDMAN SACHS GROUP, INC.</v>
    <v>895.8501</v>
    <v>THE GOLDMAN SACHS GROUP, INC.</v>
    <v>897.07</v>
    <v>903.75</v>
    <v>899.49</v>
    <v>GS</v>
    <v>THE GOLDMAN SACHS GROUP, INC. (XNYS:GS)</v>
    <v>1998</v>
    <v>768620</v>
    <v>2214108</v>
    <v>USD</v>
  </rv>
  <rv s="2">
    <v>700</v>
  </rv>
  <rv s="1">
    <v>de-DE</v>
    <v>a1xyjc</v>
    <v>268435456</v>
    <v>1</v>
    <v>Unterstützt von Refinitiv</v>
    <v>0</v>
    <v>1</v>
    <v>MORGAN STANLEY (XNYS:MS)</v>
    <v>3</v>
    <v>4</v>
    <v>Finance</v>
    <v>5</v>
    <v>194.59</v>
    <v>104.78</v>
    <v>-3.33</v>
    <v>-1.7378000000000001E-2</v>
    <v>1581387000</v>
    <v>Morgan Stanley ist ein weltweit tätiges Finanzdienstleistungsunternehmen. Das Unternehmen bietet eine Reihe von Dienstleistungen im Bereich Investment Banking, Wertpapiere, Vermögensverwaltung und Anlagemanagement an. Zu den Segmenten gehören institutionelle Wertpapiere, Wealth Management und Investment Management. Das Segment Institutional Securities bietet Unternehmen, Regierungen, Finanzinstituten und vermögenden Kunden eine Vielzahl von Produkten und Dienstleistungen an. Das Segment Wealth Management bietet ein umfassendes Angebot an Finanzdienstleistungen und -Lösungen für einzelne Investoren sowie kleine und mittlere Unternehmen und Institutionen. Das Segment Investment Management bietet eine Reihe von Anlagestrategien und -Produkten, die geografische Regionen, Anlageklassen sowie öffentliche und private Märkte für eine Vielzahl von Kunden über institutionelle und zwischengeschaltete Kanäle abdecken. Es ist in über 42 Ländern tätig und betreut Kunden weltweit, darunter Unternehmen, Regierungen, Institutionen und Einzelpersonen.</v>
    <v>1.2234</v>
    <v>297759358230</v>
    <v>New York Stock Exchange</v>
    <v>XNYS</v>
    <v>XNYS</v>
    <v>1585 Broadway, NEW YORK, NY, 10036 US</v>
    <v>192.51</v>
    <v>Investment Banking &amp; Investment Services</v>
    <v>Aktie</v>
    <v>18.445699999999999</v>
    <v>366</v>
    <v>46128.710891087503</v>
    <v>83922</v>
    <v>MORGAN STANLEY</v>
    <v>187.39</v>
    <v>MORGAN STANLEY</v>
    <v>190.88</v>
    <v>188.29</v>
    <v>191.62</v>
    <v>MS</v>
    <v>MORGAN STANLEY (XNYS:MS)</v>
    <v>1981</v>
    <v>3735908</v>
    <v>7136948</v>
    <v>USD</v>
  </rv>
  <rv s="2">
    <v>702</v>
  </rv>
  <rv s="1">
    <v>de-DE</v>
    <v>a1qqyc</v>
    <v>268435456</v>
    <v>1</v>
    <v>Unterstützt von Refinitiv</v>
    <v>0</v>
    <v>1</v>
    <v>Deutsche Bank Aktiengesellschaft (XNYS:DB)</v>
    <v>3</v>
    <v>19</v>
    <v>Finance</v>
    <v>5</v>
    <v>40.43</v>
    <v>22.99</v>
    <v>-0.57989999999999997</v>
    <v>-1.7305000000000001E-2</v>
    <v>1910579000</v>
    <v>Deutsche Bank Aktiengesellschaft ist eine Bank und Holdinggesellschaft für ihre Tochtergesellschaften. Das Unternehmen bietet Privatpersonen, Unternehmen und institutionellen Kunden eine Reihe von Dienstleistungen wie Anlage-, Finanz- und verwandte Produkte und Dienstleistungen an. Sie ist in vier Geschäftsbereichen tätig: Unternehmensbank, Investmentbank, Privatkundenbank und Vermögensverwaltung. Der Unternehmensbereich Unternehmensbank betreut Firmenkunden und Finanzinstitute und bietet Cash Management, Handelsfinanzierung, Kreditvergabe, Devisenhandel, Treuhand- und Agenturdienstleistungen, Korrespondenzbankgeschäfte und Wertpapierdienstleistungen an. Der Unternehmensbereich Investmentbank umfasst die Bereiche Fixed Income &amp; Currencies (FIC) Sales &amp; Trading, Origination &amp; Advisory und Deutsche Bank Research. Der Unternehmensbereich Privatkundenbank konzentriert sich auf Privatkunden, vermögende Privatpersonen, Unternehmer und Familien. Der Geschäftsbereich Vermögensverwaltung firmiert unter der Marke DWS und betreut einen breit gefächerten Kundenstamm von privaten und institutionellen Anlegern weltweit.</v>
    <v>1.2509999999999999</v>
    <v>64367410000</v>
    <v>New York Stock Exchange</v>
    <v>XNYS</v>
    <v>XNYS</v>
    <v>Taunusanlage 12, FRANKFURT AM MAIN, HESSEN, 60325 DE</v>
    <v>33.549999999999997</v>
    <v>Banking Services</v>
    <v>Aktie</v>
    <v>9.4464000000000006</v>
    <v>369</v>
    <v>46128.710791260935</v>
    <v>89879</v>
    <v>Deutsche Bank Aktiengesellschaft</v>
    <v>32.917499999999997</v>
    <v>Deutsche Bank Aktiengesellschaft</v>
    <v>33.520000000000003</v>
    <v>32.930100000000003</v>
    <v>33.51</v>
    <v>DB</v>
    <v>Deutsche Bank Aktiengesellschaft (XNYS:DB)</v>
    <v>1952</v>
    <v>1662737</v>
    <v>3648826</v>
    <v>USD</v>
  </rv>
  <rv s="2">
    <v>704</v>
  </rv>
  <rv s="1">
    <v>de-DE</v>
    <v>a1om4c</v>
    <v>268435456</v>
    <v>1</v>
    <v>Unterstützt von Refinitiv</v>
    <v>0</v>
    <v>1</v>
    <v>BLACKROCK, INC. (XNYS:BLK)</v>
    <v>3</v>
    <v>4</v>
    <v>Finance</v>
    <v>5</v>
    <v>1219.9399000000001</v>
    <v>845.82</v>
    <v>-32.43</v>
    <v>-3.0926999999999996E-2</v>
    <v>155364700</v>
    <v>BlackRock, Inc. ist eine Investmentverwaltungsgesellschaft. Das Unternehmen bietet eine Reihe von Anlagemanagement- und Technologieleistungen für institutionelle Kunden und Privatkunden an. Seine vielfältige Plattform von nach Alpha suchenden aktiven, privaten Märkten, Index- und Cash-Management-Anlagestrategien über alle Anlageklassen hinweg ermöglicht es dem Unternehmen, Anlageergebnisse und Asset Allocation-Lösungen für Kunden maßgeschneidert zu gestalten. Das Produktangebot umfasst Portfolios mit einem oder mehreren Vermögenswerten, die in Aktien, festverzinsliche Wertpapiere, Alternativen und Geldmarktinstrumente investieren. Seine Produkte werden direkt und über Intermediäre in einer Reihe von Instrumenten angeboten, darunter offene und geschlossene Investmentfonds, börsengehandelte iShares-Fonds, getrennte Konten, kollektive Investmentfonds und andere gepoolte Investmentgesellschaften. Darüber hinaus bietet das Unternehmen Technologiedienstleistungen an, darunter die Technologieplattform für Investitions- und Risikomanagement, Aladdin, Aladdin Wealth, eFront und Cachematrix. sowie Beratungsdienstleistungen und Lösungen.</v>
    <v>1.4786999999999999</v>
    <v>157876947199</v>
    <v>New York Stock Exchange</v>
    <v>XNYS</v>
    <v>XNYS</v>
    <v>50 Hudson Yards, NEW YORK, NY, 10001 US</v>
    <v>1058.4000000000001</v>
    <v>Investment Banking &amp; Investment Services</v>
    <v>Aktie</v>
    <v>29.321100000000001</v>
    <v>372</v>
    <v>46128.710881110936</v>
    <v>24900</v>
    <v>BLACKROCK, INC.</v>
    <v>1013.54</v>
    <v>BLACKROCK, INC.</v>
    <v>1055.6099999999999</v>
    <v>1016.17</v>
    <v>1048.5999999999999</v>
    <v>BLK</v>
    <v>BLACKROCK, INC. (XNYS:BLK)</v>
    <v>2024</v>
    <v>498761</v>
    <v>901399</v>
    <v>USD</v>
  </rv>
  <rv s="2">
    <v>706</v>
  </rv>
  <rv s="5">
    <v>de-DE</v>
    <v>a24i3m</v>
    <v>268435456</v>
    <v>1</v>
    <v>Unterstützt von Refinitiv</v>
    <v>8</v>
    <v>9</v>
    <v>T. ROWE PRICE GROUP, INC. (XNAS:TROW)</v>
    <v>11</v>
    <v>12</v>
    <v>Finance</v>
    <v>5</v>
    <v>118.22</v>
    <v>82.861000000000004</v>
    <v>-0.51</v>
    <v>-5.306E-3</v>
    <v>217605900</v>
    <v>T. Rowe Price Group, Inc. Ist ein globales Asset Management-Unternehmen. Das Unternehmen bietet eine breite Palette von Anlagelösungen für Aktien, festverzinsliche Anlagen, Multi-Asset-Funktionen und alternative Funktionen für Kunden auf der ganzen Welt – von Einzelpersonen über Berater, Institutionen bis hin zu Sponsoren für Altersvorsorgepläne. Darüber hinaus erbringt es bestimmten Anlageberatungskunden damit zusammenhängende Verwaltungsdienstleistungen wie Vertrieb, Vermögensübertragungsstelle, Buchhaltung und Anteilseignerdienstleistungen, Teilnehmeraufzeichnungs- und Transferdienste für beitragsorientierte Altersvorsorgepläne, Maklerdienste, Treuhanddienste und nicht-diskretionäre Beratungsdienste durch Modellbereitstellung. Das Unternehmen vertreibt seine aktiven Investitionslösungen über eine Vielzahl von Vertriebskanälen und Fahrzeugen, um den Bedürfnissen seiner Kunden weltweit gerecht zu werden. Zu diesen Fahrzeugen gehören eine Reihe von US-Investmentfonds, kollektiven Investmentfonds, unterberatenen Fonds, getrennt verwalteten Konten und anderen gesponserten Produkten.</v>
    <v>1.5146999999999999</v>
    <v>377</v>
    <v>20803124040</v>
    <v>Nasdaq Stock Market</v>
    <v>XNAS</v>
    <v>XNAS</v>
    <v>1307 Point St, MD, 21231 US</v>
    <v>96.64</v>
    <v>Investment Banking &amp; Investment Services</v>
    <v>Aktie</v>
    <v>10.3409</v>
    <v>378</v>
    <v>46128.71070913125</v>
    <v>7773</v>
    <v>T. ROWE PRICE GROUP, INC.</v>
    <v>95.07</v>
    <v>T. ROWE PRICE GROUP, INC.</v>
    <v>96.29</v>
    <v>95.6</v>
    <v>96.11</v>
    <v>TROW</v>
    <v>T. ROWE PRICE GROUP, INC. (XNAS:TROW)</v>
    <v>2000</v>
    <v>454656</v>
    <v>2677625</v>
    <v>USD</v>
  </rv>
  <rv s="2">
    <v>708</v>
  </rv>
  <rv s="1">
    <v>de-DE</v>
    <v>a1p2ar</v>
    <v>268435456</v>
    <v>1</v>
    <v>Unterstützt von Refinitiv</v>
    <v>0</v>
    <v>1</v>
    <v>BLACKSTONE INC. (XNYS:BX)</v>
    <v>3</v>
    <v>4</v>
    <v>Finance</v>
    <v>5</v>
    <v>190.08500000000001</v>
    <v>101.73</v>
    <v>-1.38</v>
    <v>-1.06E-2</v>
    <v>1187767000</v>
    <v>Blackstone Inc. ist ein alternativer Vermögensverwalter. Seine Vermögensverwaltung umfasst globale Anlagestrategien mit Schwerpunkt auf Immobilien, Private Equity, Infrastruktur, Biowissenschaften, Wachstumskapital, Krediten, Sachwerten, Sekundärmärkten und Hedgefonds. Der Bereich Immobilien umfasst die Verwaltung von opportunistischen Immobilienfonds, Core+-Immobilienfonds und Immobilienkreditstrategien. Der Bereich Private Equity umfasst die Verwaltung von Flaggschiff-Corporate-Private-Equity-Fonds, branchen- und geografisch fokussierten Corporate-Private-Equity-Fonds, Core-Private-Equity-Fonds, einer Investitionsplattform und anderen. Das Segment „Kredite und Versicherungen” besteht aus Blackstone Credit &amp; Insurance, das in drei übergeordnete Strategien unterteilt ist: private Unternehmenskredite, liquide Unternehmenskredite sowie infrastruktur- und vermögensbasierte Kredite. Das Segment „Multi-Asset-Investitionen” ist in vier Anlageplattformen unterteilt: Absolute Return, Multi-Strategy, Total Portfolio Management und Public Real Assets.</v>
    <v>1.7005999999999999</v>
    <v>152996267270</v>
    <v>New York Stock Exchange</v>
    <v>XNYS</v>
    <v>XNYS</v>
    <v>345 Park Avenue, NEW YORK, NY, 10154 US</v>
    <v>132.71</v>
    <v>Investment Banking &amp; Investment Services</v>
    <v>Aktie</v>
    <v>33.271299999999997</v>
    <v>381</v>
    <v>46128.710913113282</v>
    <v>5285</v>
    <v>BLACKSTONE INC.</v>
    <v>128</v>
    <v>BLACKSTONE INC.</v>
    <v>132.15</v>
    <v>128.81</v>
    <v>130.19</v>
    <v>BX</v>
    <v>BLACKSTONE INC. (XNYS:BX)</v>
    <v>2007</v>
    <v>2625444</v>
    <v>9819870</v>
    <v>USD</v>
  </rv>
  <rv s="2">
    <v>710</v>
  </rv>
  <rv s="1">
    <v>de-DE</v>
    <v>a1wj9c</v>
    <v>268435456</v>
    <v>1</v>
    <v>Unterstützt von Refinitiv</v>
    <v>0</v>
    <v>1</v>
    <v>KKR &amp; CO. INC. (XNYS:KKR)</v>
    <v>3</v>
    <v>4</v>
    <v>Finance</v>
    <v>5</v>
    <v>153.87</v>
    <v>82.67</v>
    <v>-1.36</v>
    <v>-1.3096000000000002E-2</v>
    <v>891550900</v>
    <v>KKR &amp; Co. Inc. Ist eine globale Investmentfirma, die alternative Vermögensverwaltung sowie Kapitalmärkte und Versicherungslösungen anbietet. Zu den Segmenten des Unternehmens gehören Asset Management, Insurance und Strategic Holdings. Das Segment Asset Management bietet eine Reihe von Anlageverwaltungsdienstleistungen für Investmentfonds, Fahrzeuge und Konten und erbringt Kapitalmarktdienstleistungen für Portfoliounternehmen und Dritte. Das Segment Asset Management umfasst fünf Geschäftsbereiche: Private Equity, Real Assets, Kredit- und Liquid-Strategien, Kapitalmärkte und Kapitalaktivitäten. Das Versicherungssegment wird von Global Atlantic betrieben, einem US-amerikanischen Pensions- und Lebensversicherungsunternehmen, das Kunden auf individuellen und institutionellen Märkten eine Reihe von Schutz-, Legacy- und Sparprodukten sowie Rückversicherungslösungen anbietet. Global Atlantic bietet Privatpersonen feste Renten und andere. Das Segment Strategic Holdings repräsentiert seine Beteiligung an der Kernstrategie von Private Equity.</v>
    <v>1.8933</v>
    <v>91375051741</v>
    <v>New York Stock Exchange</v>
    <v>XNYS</v>
    <v>XNYS</v>
    <v>30 Hudson Yards, NEW YORK, NY, 10001 US</v>
    <v>105.36499999999999</v>
    <v>Investment Banking &amp; Investment Services</v>
    <v>Aktie</v>
    <v>43.799100000000003</v>
    <v>384</v>
    <v>46128.710900185157</v>
    <v>5043</v>
    <v>KKR &amp; CO. INC.</v>
    <v>102.14</v>
    <v>KKR &amp; CO. INC.</v>
    <v>105.17</v>
    <v>102.49</v>
    <v>103.85</v>
    <v>KKR</v>
    <v>KKR &amp; CO. INC. (XNYS:KKR)</v>
    <v>2021</v>
    <v>1832737</v>
    <v>6654679</v>
    <v>USD</v>
  </rv>
  <rv s="2">
    <v>712</v>
  </rv>
  <rv s="1">
    <v>de-DE</v>
    <v>a1nlzr</v>
    <v>268435456</v>
    <v>1</v>
    <v>Unterstützt von Refinitiv</v>
    <v>0</v>
    <v>1</v>
    <v>APOLLO GLOBAL MANAGEMENT, INC. (XNYS:APO)</v>
    <v>3</v>
    <v>4</v>
    <v>Finance</v>
    <v>5</v>
    <v>157.28</v>
    <v>99.56</v>
    <v>1.52</v>
    <v>1.261E-2</v>
    <v>578247300</v>
    <v>Apollo Global Management, Inc. Ist ein globaler alternativer Asset Manager und ein Anbieter von Altersvorsorgedienstleistungen. Das Unternehmen ist in drei Segmenten tätig: Asset Management, Retirement Services und Principal Investing. Das Segment Asset Management konzentriert sich auf drei Anlagestrategien: Rendite, Hybrid und Eigenkapital. Diese Strategien spiegeln die Bandbreite der Anlagemöglichkeiten der Plattform auf der Grundlage des relativen Risikos und der Rendite wider. Das Geschäft mit Altersvorsorgedienstleistungen wird von Athene Holding Ltd (Athene) geführt, einem Finanzdienstleistungsunternehmen, das sich auf die Ausgabe, Rückversicherung und den Erwerb von Altersvorsorgeprodukten spezialisiert hat, die für die wachsende Zahl von Einzelpersonen und Institutionen entwickelt wurden, die den Rentenbedarf finanzieren wollen. Athene Produktlinien umfassen Renten- und Finanzierungsvereinbarungen. Das Segment Kapitalanlage umfasst realisierte Erträge aus Leistungsgebühren, realisierte Erträge aus Kapitalanlagen in der Bilanz sowie bestimmte zurechenbare Aufwendungen im Zusammenhang mit Unternehmensfunktionen, die das gesamte Unternehmen unterstützen.</v>
    <v>1.5035000000000001</v>
    <v>70580865438</v>
    <v>New York Stock Exchange</v>
    <v>XNYS</v>
    <v>XNYS</v>
    <v>9 West 57Th Street, 42Nd Floor, NEW YORK, NY, 10019 US</v>
    <v>122.62</v>
    <v>Collective Investments</v>
    <v>Aktie</v>
    <v>22.1007</v>
    <v>387</v>
    <v>46128.710875566409</v>
    <v>6140</v>
    <v>APOLLO GLOBAL MANAGEMENT, INC.</v>
    <v>120.28</v>
    <v>APOLLO GLOBAL MANAGEMENT, INC.</v>
    <v>121.36</v>
    <v>122.06</v>
    <v>120.54</v>
    <v>APO</v>
    <v>APOLLO GLOBAL MANAGEMENT, INC. (XNYS:APO)</v>
    <v>2021</v>
    <v>2790750</v>
    <v>5556243</v>
    <v>USD</v>
  </rv>
  <rv s="2">
    <v>714</v>
  </rv>
  <rv s="11">
    <v>de-DE</v>
    <v>c87htc</v>
    <v>268435456</v>
    <v>1</v>
    <v>Unterstützt von Refinitiv</v>
    <v>41</v>
    <v>42</v>
    <v>BROOKFIELD ASSET MANAGEMENT LTD. (XNYS:BAM)</v>
    <v>16</v>
    <v>43</v>
    <v>Finance</v>
    <v>5</v>
    <v>64.099999999999994</v>
    <v>42.2</v>
    <v>-0.36</v>
    <v>-7.3729999999999993E-3</v>
    <v>1638168000</v>
    <v>Brookfield Asset Management Ltd. ist ein globaler alternativer Asset Manager. Das Unternehmen investiert langfristig Kundenkapital mit Schwerpunkt auf Sachanlagen und wichtigen Dienstleistungsgeschäften, die das Rückgrat der globalen Wirtschaft bilden. Es bietet Investoren auf der ganzen Welt eine Reihe alternativer Anlageprodukte an, darunter öffentliche und private Pensionspläne, Stiftungen und Stiftungen, Staatsfonds, Finanzinstitute, Versicherungsgesellschaften und private Vermögensinvestoren. Seine Produkte sind in drei Kategorien unterteilt, zu denen langfristige private Fonds, permanente Kapitalgesellschaften und dauerhafte Strategien sowie liquide Strategien gehören. Diese werden in fünf Hauptstrategien investiert: Erneuerbare Energie und Übergang, Infrastruktur, Immobilien, Private Equity und Kredite.</v>
    <v>1.3665</v>
    <v>79402002960</v>
    <v>New York Stock Exchange</v>
    <v>XNYS</v>
    <v>XNYS</v>
    <v>Brookfield Place, 225 Liberty Street, 8th Floor, NEW YORK, NY, 10281-1048 US</v>
    <v>49.3</v>
    <v>Investment Banking &amp; Investment Services</v>
    <v>Aktie</v>
    <v>31.798200000000001</v>
    <v>46128.710895253906</v>
    <v>BROOKFIELD ASSET MANAGEMENT LTD.</v>
    <v>48.24</v>
    <v>BROOKFIELD ASSET MANAGEMENT LTD.</v>
    <v>49.2</v>
    <v>48.47</v>
    <v>48.83</v>
    <v>BAM</v>
    <v>BROOKFIELD ASSET MANAGEMENT LTD. (XNYS:BAM)</v>
    <v>2022</v>
    <v>1447381</v>
    <v>4119066</v>
    <v>USD</v>
  </rv>
  <rv s="2">
    <v>716</v>
  </rv>
  <rv s="1">
    <v>de-DE</v>
    <v>a22n4c</v>
    <v>268435456</v>
    <v>1</v>
    <v>Unterstützt von Refinitiv</v>
    <v>0</v>
    <v>1</v>
    <v>THE CHARLES SCHWAB CORPORATION (XNYS:SCHW)</v>
    <v>3</v>
    <v>4</v>
    <v>Finance</v>
    <v>5</v>
    <v>107.5</v>
    <v>73.760000000000005</v>
    <v>-5.35</v>
    <v>-5.3356000000000001E-2</v>
    <v>1738099000</v>
    <v>Charles Schwab Corporation ist eine Spar- und Kreditholdinggesellschaft. Das Unternehmen ist über seine Tochtergesellschaften in den Bereichen Vermögensverwaltung, Wertpapiermaklergeschäft, Bankgeschäfte, Vermögensverwaltung, Depotverwaltung und Finanzberatung tätig. Das Unternehmen bietet Finanzdienstleistungen für Privatpersonen und institutionelle Kunden in zwei Segmenten an: Investor Services und Advisor Services. Das Segment Investor Services bietet Privatkunden Brokerage-, Anlageberatungs-, Bank- und Treuhanddienstleistungen für Privatanleger sowie Pensionsplan- und Unternehmensdienstleistungen sowie andere Corporate-Brokerage-Dienstleistungen für Unternehmen und deren Mitarbeiter. Das Segment Advisor Services bietet Depot-, Handels-, Bank- und Treuhand- sowie Unterstützungsdienste für unabhängige registrierte Anlageberater (RIAs), unabhängige Rentenberater und Buchhalter. Zu den Produkten und Dienstleistungen gehören Brokerage, Investmentfonds, börsengehandelte Fonds (ETFs), Managed-Investing-Lösungen, alternative Anlagen, Bankgeschäfte und Treuhandgeschäfte.</v>
    <v>0.88859999999999995</v>
    <v>164980357080</v>
    <v>New York Stock Exchange</v>
    <v>XNYS</v>
    <v>XNYS</v>
    <v>3000 Schwab Way, WESTLAKE, TX, 76262 US</v>
    <v>98.75</v>
    <v>Investment Banking &amp; Investment Services</v>
    <v>Aktie</v>
    <v>20.3569</v>
    <v>392</v>
    <v>46128.710918899997</v>
    <v>33000</v>
    <v>THE CHARLES SCHWAB CORPORATION</v>
    <v>94.454999999999998</v>
    <v>THE CHARLES SCHWAB CORPORATION</v>
    <v>95.76</v>
    <v>94.92</v>
    <v>100.27</v>
    <v>SCHW</v>
    <v>THE CHARLES SCHWAB CORPORATION (XNYS:SCHW)</v>
    <v>1986</v>
    <v>10704843</v>
    <v>9059759</v>
    <v>USD</v>
  </rv>
  <rv s="2">
    <v>718</v>
  </rv>
  <rv s="1">
    <v>de-DE</v>
    <v>a21icw</v>
    <v>268435456</v>
    <v>1</v>
    <v>Unterstützt von Refinitiv</v>
    <v>0</v>
    <v>1</v>
    <v>PAYPAL HOLDINGS, INC. (XNAS:PYPL)</v>
    <v>3</v>
    <v>4</v>
    <v>Finance</v>
    <v>5</v>
    <v>79.5</v>
    <v>38.46</v>
    <v>-8.5000000000000006E-2</v>
    <v>-1.7150000000000002E-3</v>
    <v>899674000</v>
    <v>PayPal Holdings, Inc. Bietet eine Technologieplattform an. Die Produkte des Unternehmens wurden entwickelt, um digitale Zahlungen zu ermöglichen und den Handel für Verbraucher und Händler zu vereinfachen, um das Verkaufen, Einkaufen, Senden und Empfangen von Geld einfach, personalisiert und sicher zu gestalten, online oder offline, einschließlich mobil. Sie bietet Verbrauchern eine digitale Geldbörse, die es ihnen ermöglicht, Zahlungen sicher an Händler zu senden. Dazu gehören ein Bankkonto, ein PayPal- oder Venmo-Kontostand, seine Kreditprodukte, eine Kreditkarte, eine Debitkarte, bestimmte Kryptowährungen oder andere Wertprodukte. Das Unternehmen betreibt ein globales, zweiseitiges Netzwerk, das Kunden und Händler mit 434 Millionen aktiven Konten in rund 200 Märkten miteinander verbindet. Zu den Marken zählen PayPal, Braintree, Venmo, Xoom, Hyperwallet, PayPal Zettle, PayPal Honey und Paidy. Es bietet Finanzierungsprodukte über das PayPal Working Capital (PPWC) und das PayPal Business Loan (PPBL) an.</v>
    <v>1.41</v>
    <v>44520367890</v>
    <v>Nasdaq Stock Market</v>
    <v>XNAS</v>
    <v>XNAS</v>
    <v>2211 N 1st St, SAN JOSE, CA, 95131 US</v>
    <v>49.84</v>
    <v>Professional &amp; Commercial Services</v>
    <v>Aktie</v>
    <v>9.1287000000000003</v>
    <v>398</v>
    <v>46128.710820068751</v>
    <v>23800</v>
    <v>PAYPAL HOLDINGS, INC.</v>
    <v>48.35</v>
    <v>PAYPAL HOLDINGS, INC.</v>
    <v>48.36</v>
    <v>49.484999999999999</v>
    <v>49.57</v>
    <v>PYPL</v>
    <v>PAYPAL HOLDINGS, INC. (XNAS:PYPL)</v>
    <v>2015</v>
    <v>7064449</v>
    <v>16077938</v>
    <v>USD</v>
  </rv>
  <rv s="2">
    <v>720</v>
  </rv>
  <rv s="1">
    <v>de-DE</v>
    <v>c4e5vh</v>
    <v>268435456</v>
    <v>1</v>
    <v>Unterstützt von Refinitiv</v>
    <v>0</v>
    <v>1</v>
    <v>Nu Holdings Ltd. (XNYS:NU)</v>
    <v>3</v>
    <v>4</v>
    <v>Finance</v>
    <v>5</v>
    <v>18.98</v>
    <v>10.55</v>
    <v>0.03</v>
    <v>1.9559999999999998E-3</v>
    <v>4860599000</v>
    <v>Nu Holdings Ltd ist eine in Brasilien ansässige Holdinggesellschaft, die digitale Bankdienstleistungen anbietet. Das Unternehmen bietet seinen Kunden Produkte in den fünf Finanzperioden an: Ausgaben, Einsparungen, Investitionen, Kreditaufnahme und Schutz. Die Ausgabelösungen sind darauf ausgelegt, Kunden bei der Bezahlung von Waren und Dienstleistungen im täglichen Leben mit einer individuellen Kreditlinie oder sofort über ein Mobiltelefon zu unterstützen und dabei Treuepunkte und Prämien für entsprechende Transaktionen zu sammeln. Die Sparlösungen sind darauf ausgelegt, Kunden bei der Einzahlung, Verwaltung und Einsparung ihres Geldes auf Zinserträgen mit zusätzlichen Debitkarten zu unterstützen. Seine Investitionslösungen sind darauf ausgelegt, Kunden dabei zu unterstützen, ihr Geld in Anlageprodukte und -Dienstleistungen zu investieren. Die Darlehenslösungen wurden entwickelt, um Kunden ungesicherte Kredite zu bieten, die leicht entgegenzunehmen, zu verwalten und zurückzuzahlen sind. Die Schutzlösungen sollen Kunden dabei unterstützen, Lebensversicherungen und Bestattungsleistungen zu sichern.</v>
    <v>1.0918000000000001</v>
    <v>74707406630</v>
    <v>New York Stock Exchange</v>
    <v>XNYS</v>
    <v>XNYS</v>
    <v>Rua Capote Valente, 39, Pinheiros, SAO PAULO, SAO PAULO, 05.409-000 BR</v>
    <v>15.565</v>
    <v>Banking Services</v>
    <v>Aktie</v>
    <v>26.135000000000002</v>
    <v>401</v>
    <v>46128.710889675778</v>
    <v>10027</v>
    <v>Nu Holdings Ltd.</v>
    <v>15.29</v>
    <v>Nu Holdings Ltd.</v>
    <v>15.45</v>
    <v>15.37</v>
    <v>15.34</v>
    <v>NU</v>
    <v>Nu Holdings Ltd. (XNYS:NU)</v>
    <v>2016</v>
    <v>15533616</v>
    <v>51397238</v>
    <v>USD</v>
  </rv>
  <rv s="2">
    <v>722</v>
  </rv>
  <rv s="1">
    <v>de-DE</v>
    <v>bwxxoc</v>
    <v>268435456</v>
    <v>1</v>
    <v>Unterstützt von Refinitiv</v>
    <v>0</v>
    <v>1</v>
    <v>SOFI TECHNOLOGIES, INC. (XNAS:SOFI)</v>
    <v>3</v>
    <v>4</v>
    <v>Finance</v>
    <v>5</v>
    <v>32.729999999999997</v>
    <v>10.41</v>
    <v>0.27500000000000002</v>
    <v>1.4635E-2</v>
    <v>1275264000</v>
    <v>Sofi Technologies, Inc. Ist ein auf Mitglieder ausgerichteter, zentraler Shop für digitale Finanzdienstleistungen. Das Unternehmen ermöglicht es seinen Mitgliedern durch seine Kredit- und Finanzdienstleistungsprodukte, ihr Geld zu leihen, zu sparen, auszugeben, zu investieren und zu schützen. Zu den Segmenten des Unternehmens gehören Kreditvergabe, Technologieplattform und Finanzdienstleistungen. Das Kreditsegment bietet Privatdarlehen, Studentendarlehen, Wohnungsdarlehen und damit verbundene Dienstleistungen an, um seinen Mitgliedern bei einer Vielzahl von finanziellen Bedürfnissen zu helfen. Die Plattform unterstützt den gesamten Transaktionslebenszyklus, einschließlich Kreditantrag, Underwriting, Genehmigung, Finanzierung und Service. Das Segment Technology Platform bietet Services über eine breit gefächerte Suite von Angeboten, darunter eine Veranstaltungs- und Autorisierungsplattform, auf die über Anwendungsprogrammierschnittstellen zugegriffen wird, eine Cloud-native digitale und Core Banking-Plattform sowie Dienste in Verbindung mit beiden Plattformen. Das Segment Financial Services bietet eine Reihe von Finanzdienstleistungslösungen, darunter SoFi Money und SoFi Invest.</v>
    <v>2.3054999999999999</v>
    <v>24312908160</v>
    <v>Nasdaq Stock Market</v>
    <v>XNAS</v>
    <v>XNAS</v>
    <v>234 1st Street, SAN FRANCISCO, CA, 94105 US</v>
    <v>19.62</v>
    <v>Banking Services</v>
    <v>Aktie</v>
    <v>50.1447</v>
    <v>404</v>
    <v>46128.710858587503</v>
    <v>6100</v>
    <v>SOFI TECHNOLOGIES, INC.</v>
    <v>18.650099999999998</v>
    <v>SOFI TECHNOLOGIES, INC.</v>
    <v>19.62</v>
    <v>19.065000000000001</v>
    <v>18.79</v>
    <v>SOFI</v>
    <v>SOFI TECHNOLOGIES, INC. (XNAS:SOFI)</v>
    <v>2021</v>
    <v>50154340</v>
    <v>62087354</v>
    <v>USD</v>
  </rv>
  <rv s="2">
    <v>724</v>
  </rv>
  <rv s="1">
    <v>de-DE</v>
    <v>bwvep2</v>
    <v>268435456</v>
    <v>1</v>
    <v>Unterstützt von Refinitiv</v>
    <v>0</v>
    <v>1</v>
    <v>AFFIRM HOLDINGS, INC. (XNAS:AFRM)</v>
    <v>3</v>
    <v>4</v>
    <v>Finance</v>
    <v>5</v>
    <v>100</v>
    <v>39.35</v>
    <v>0.1</v>
    <v>1.6769999999999999E-3</v>
    <v>333110700</v>
    <v>Affirm Holdings, Inc. Bietet Verbrauchern eine Alternative zu herkömmlichen Zahlungsoptionen. Das Unternehmen ist am Aufbau eines Zahlungsnetzwerks beteiligt. Die Plattform umfasst drei Kernelemente: Point-of-Sale-Zahlungslösungen für Verbraucher, Handelslösungen und eine kundenorientierte App. Die Affirm App und die Website bieten maßgeschneiderte Angebote von Händlern, die auf die Präferenzen der Verbraucher abgestimmt sind. Verbraucher können sich unter affirm.com oder über die Affirm App bewerben und erhalten nach Genehmigung eine virtuelle Einwegkarte für die Online- oder Ladeneingabe. Die Affirm Card ermöglicht es Verbrauchern, ein Bankkonto zu verknüpfen, um vollständig zu zahlen oder Überstunden über die Affirm App zu zahlen. Es bietet Benutzern eine in-App-Funktion nach dem Kauf, mit der sie sofort beantragen können, ob eine berechtigte Lastschrift in ein Ratenkredit umgewandelt wird. Über die Affirm-App und in Zusammenarbeit mit der Cross River Bank bietet sie ein Sparkonto ohne Mindesteinzahlungsanforderungen oder Gebühren.</v>
    <v>3.7201</v>
    <v>19893371004</v>
    <v>Nasdaq Stock Market</v>
    <v>XNAS</v>
    <v>XNAS</v>
    <v>650 California Street, SAN FRANCISCO, CA, 94108 US</v>
    <v>61.66</v>
    <v>Financial Technology (Fintech) &amp; Infrastructure</v>
    <v>Aktie</v>
    <v>76.662400000000005</v>
    <v>407</v>
    <v>46128.710920925783</v>
    <v>2206</v>
    <v>AFFIRM HOLDINGS, INC.</v>
    <v>58.44</v>
    <v>AFFIRM HOLDINGS, INC.</v>
    <v>60.44</v>
    <v>59.72</v>
    <v>59.62</v>
    <v>AFRM</v>
    <v>AFFIRM HOLDINGS, INC. (XNAS:AFRM)</v>
    <v>2025</v>
    <v>2693408</v>
    <v>5190568</v>
    <v>USD</v>
  </rv>
  <rv s="2">
    <v>726</v>
  </rv>
  <rv s="1">
    <v>de-DE</v>
    <v>c2mtww</v>
    <v>268435456</v>
    <v>1</v>
    <v>Unterstützt von Refinitiv</v>
    <v>0</v>
    <v>1</v>
    <v>ROBINHOOD MARKETS, INC. (XNAS:HOOD)</v>
    <v>3</v>
    <v>4</v>
    <v>Finance</v>
    <v>5</v>
    <v>153.85990000000001</v>
    <v>39.21</v>
    <v>-0.97</v>
    <v>-1.1109000000000001E-2</v>
    <v>900308400</v>
    <v>Robinhood Markets, Inc. Erstellt eine Finanzdienstleistungsplattform für alle, unabhängig von ihrem Vermögen, Einkommen oder Hintergrund. Sie nutzt Technologie, um Zugang zum Finanzsystem zu ermöglichen. Das Angebot umfasst Brokerage, Robinhood Crypto, Custody, Robinhood Wallet, Robinhood Gold, und Robinhood Gold Card. Die Brokerage-Dienstleistungen umfassen Investitionen, Optionshandel, Teilhandel, wiederkehrende Anlagen, Zugang zu Margeninvestitionen, voll bezahlte Wertpapierleihvergabe, Cash Sweep, sofortige Abhebungen, Robinhood-Pensionierung, 24-Stunden-Markt, gemeinsame Anlagekonten und Ereignisverträge. Darüber hinaus bietet es seinen Kunden eine Vielzahl von Möglichkeiten, ihr Finanzwissen zu erweitern, darunter Robinhood Learn, in-App Education, Newsfeeds, Sherwood Snacks, und Crypto lernen und verdienen. Das selbstverrechnende System, das Bestellweiterleitungssystem, die Datenplattform und andere Backend-Infrastruktur bieten die Funktionen, mit denen sich Kunden auf Investitionen, Einsparungen und Ausgaben konzentrieren können.</v>
    <v>2.4977999999999998</v>
    <v>77741630340</v>
    <v>Nasdaq Stock Market</v>
    <v>XNAS</v>
    <v>XNAS</v>
    <v>85 Willow Road, MENLO PARK, CA, 94025 US</v>
    <v>89.379900000000006</v>
    <v>Financial Technology (Fintech) &amp; Infrastructure</v>
    <v>Aktie</v>
    <v>48.305</v>
    <v>410</v>
    <v>46128.710902685154</v>
    <v>2900</v>
    <v>ROBINHOOD MARKETS, INC.</v>
    <v>83.87</v>
    <v>ROBINHOOD MARKETS, INC.</v>
    <v>89</v>
    <v>86.35</v>
    <v>87.32</v>
    <v>HOOD</v>
    <v>ROBINHOOD MARKETS, INC. (XNAS:HOOD)</v>
    <v>2013</v>
    <v>37627735</v>
    <v>28530715</v>
    <v>USD</v>
  </rv>
  <rv s="2">
    <v>728</v>
  </rv>
  <rv s="1">
    <v>de-DE</v>
    <v>brkwgh</v>
    <v>268435456</v>
    <v>1</v>
    <v>Unterstützt von Refinitiv</v>
    <v>0</v>
    <v>1</v>
    <v>Adyen NV (OTCM:ADYEY)</v>
    <v>3</v>
    <v>19</v>
    <v>Finance</v>
    <v>7</v>
    <v>19.940000000000001</v>
    <v>9.4499999999999993</v>
    <v>-0.115</v>
    <v>-1.0141000000000001E-2</v>
    <v>31547680</v>
    <v>Adyen N.V., ehemals Adyen B.V., ist Anbieter von mobilen, Online- und Point-of-Sale (POS)-Zahlungslösungen mit Sitz in den Niederlanden. Es betreibt eine Online-Plattform, die es Händler ermöglicht, Zahlungen international und von allen Verkaufskanälen wie Online-Shops, mobile Zahlungen von Anwendungen und Websites sowie POS-Terminals wie Countertops, mobile Terminals, Tablets und Registrierkassen zu akzeptieren. Die Plattform deckt die gesamte Zahlungskette einschließlich technischer, vertraglicher, Abgleichs- und Abrechnungsprozesse ab. Die Plattform ist in Form von gebrauchsfertigen Zahlungsseiten (HPP), einer Anwendungsprogrammierschnittstelle (API) und einer clientseitigen Verschlüsselungslösung (EE) verfügbar. Zu den Kunden des Unternehmens zählen unter anderem Mango, KLM, Netflix, Superdry, Uber, Groupon und Crocs. Es hat Niederlassungen in den Niederlanden, Großbritannien, Frankreich, Deutschland, Belgien, Brasilien, China, Australien, Mexiko, Singapur, Spanien, Schweden und den Vereinigten Staaten.</v>
    <v>2.4112</v>
    <v>44081990000</v>
    <v>OTC Markets</v>
    <v>OTCM</v>
    <v>OTCM</v>
    <v>Simon Carmiggeltstraat 6-50, AMSTERDAM, NOORD-HOLLAND, 1011DJ NL</v>
    <v>11.36</v>
    <v>Financial Technology (Fintech) &amp; Infrastructure</v>
    <v>Aktie</v>
    <v>0</v>
    <v>413</v>
    <v>46128.700278564065</v>
    <v>4771</v>
    <v>Adyen NV</v>
    <v>11.14</v>
    <v>Adyen NV</v>
    <v>11.33</v>
    <v>11.225</v>
    <v>11.34</v>
    <v>ADYEY</v>
    <v>Adyen NV (OTCM:ADYEY)</v>
    <v>2006</v>
    <v>308288</v>
    <v>157730</v>
    <v>USD</v>
  </rv>
  <rv s="2">
    <v>730</v>
  </rv>
  <rv s="1">
    <v>de-DE</v>
    <v>a1zsjc</v>
    <v>268435456</v>
    <v>1</v>
    <v>Unterstützt von Refinitiv</v>
    <v>0</v>
    <v>1</v>
    <v>THE PROCTER &amp; GAMBLE COMPANY (XNYS:PG)</v>
    <v>3</v>
    <v>4</v>
    <v>Finance</v>
    <v>5</v>
    <v>171.65</v>
    <v>137.62</v>
    <v>-0.58009999999999995</v>
    <v>-4.0460000000000001E-3</v>
    <v>2324001000</v>
    <v>Die Procter &amp; Gamble Company konzentriert sich auf die Bereitstellung von gebrandeten Konsumgütern für Verbraucher auf der ganzen Welt. Zu den Segmenten des Unternehmens gehören Beauty, Grooming, Health Care, Fabric &amp; Home Care sowie Baby, Feminine &amp; Family Care. Die Produkte des Unternehmens werden in etwa 180 Ländern und Gebieten hauptsächlich über Massenhändler, E-Commerce, einschließlich Social-Commerce-Kanäle, Lebensmittelläden, Mitgliedsclubs, Drogerien, Kaufhäuser, Händler, Großhändler, Schönheitsgeschäfte, einschließlich Duty-Free-Geschäfte am Flughafen), Hochfrequenzläden, Apotheken, Elektronikläden und professionelle Kanäle. Sie verkauft auch direkt an einzelne Verbraucher. Sie ist in etwa 70 Ländern tätig. Es bietet Produkte unter Marken wie Head &amp; Shoulders, Kräuteressenzen, Pantene, Rejoy, Olay, Old Spice, Safeguard, Secret, SK-II, Braun, Gillette, Venus, Crest, Oral-B, Ariel, Flaum, Gewinn, Flut, Immer, Immer Diskret, Tampax, Bounty und andere.</v>
    <v>0.39529999999999998</v>
    <v>331867110399</v>
    <v>New York Stock Exchange</v>
    <v>XNYS</v>
    <v>XNYS</v>
    <v>One Procter &amp; Gamble Plaza, CINCINNATI, OH, 45202 US</v>
    <v>144.29</v>
    <v>Personal &amp; Household Products &amp; Services</v>
    <v>Aktie</v>
    <v>21.158999999999999</v>
    <v>416</v>
    <v>46128.710898471872</v>
    <v>109000</v>
    <v>THE PROCTER &amp; GAMBLE COMPANY</v>
    <v>142.74</v>
    <v>THE PROCTER &amp; GAMBLE COMPANY</v>
    <v>143.41999999999999</v>
    <v>142.79990000000001</v>
    <v>143.38</v>
    <v>PG</v>
    <v>THE PROCTER &amp; GAMBLE COMPANY (XNYS:PG)</v>
    <v>1905</v>
    <v>2308788</v>
    <v>10519766</v>
    <v>USD</v>
  </rv>
  <rv s="2">
    <v>732</v>
  </rv>
  <rv s="1">
    <v>de-DE</v>
    <v>a1wljc</v>
    <v>268435456</v>
    <v>1</v>
    <v>Unterstützt von Refinitiv</v>
    <v>0</v>
    <v>1</v>
    <v>THE COCA-COLA COMPANY (XNYS:KO)</v>
    <v>3</v>
    <v>4</v>
    <v>Finance</v>
    <v>5</v>
    <v>82</v>
    <v>65.353800000000007</v>
    <v>-0.36499999999999999</v>
    <v>-4.8470000000000006E-3</v>
    <v>4304153000</v>
    <v>The Coca-Cola Company ist ein Getränkehersteller. Zu den Segmenten des Unternehmens gehören Europa, Naher Osten und Afrika, Lateinamerika, Nordamerika, Asien-Pazifik, Global Ventures und Bottling Investments. Das Unternehmen vertreibt weltweit mehrere Marken in verschiedenen Getränkekategorien. Zu seinem Portfolio an kohlensäurehaltigen Erfrischungsgetränken gehören Coca-Cola, Sprite und Fanta. Zu den Wasser-, Sport-, Kaffee- und Teemarken gehören Dasani, smartwater, vitaminwater, Topo Chico, BODYARMOR, Powerade, Costa, Georgia, Fuze Tea, Gold Peak und Ayataka. Zu den Marken für Säfte, hochwertige Milchprodukte und pflanzliche Getränke gehören Minute Maid, Simply, innocent, Del Valle, fairlife und AdeS. Das Unternehmen ist in zwei Geschäftsbereichen tätig: Konzentratgeschäft und Fertigproduktgeschäft. Im Konzentratgeschäft werden Getränkekonzentrate, Sirupe, einschließlich Fontänensirupe, und bestimmte Fertiggetränke an autorisierte Abfüllbetriebe verkauft. Im Bereich Fertigprodukte werden kohlensäurehaltige Erfrischungsgetränke und eine Reihe anderer Fertiggetränke verkauft.</v>
    <v>0.33800000000000002</v>
    <v>322574746585</v>
    <v>New York Stock Exchange</v>
    <v>XNYS</v>
    <v>XNYS</v>
    <v>1 Coca Cola Plz NW, ATLANTA, GA, 30313-2420 US</v>
    <v>75.834999999999994</v>
    <v>Beverages</v>
    <v>Aktie</v>
    <v>24.661100000000001</v>
    <v>419</v>
    <v>46128.71094168906</v>
    <v>65900</v>
    <v>THE COCA-COLA COMPANY</v>
    <v>74.915000000000006</v>
    <v>THE COCA-COLA COMPANY</v>
    <v>74.959999999999994</v>
    <v>74.944999999999993</v>
    <v>75.31</v>
    <v>KO</v>
    <v>THE COCA-COLA COMPANY (XNYS:KO)</v>
    <v>1919</v>
    <v>4439195</v>
    <v>14716663</v>
    <v>USD</v>
  </rv>
  <rv s="2">
    <v>734</v>
  </rv>
  <rv s="1">
    <v>de-DE</v>
    <v>axyhnm</v>
    <v>268435456</v>
    <v>1</v>
    <v>Unterstützt von Refinitiv</v>
    <v>0</v>
    <v>1</v>
    <v>Pepsico, Inc. (XNAS:PEP)</v>
    <v>3</v>
    <v>4</v>
    <v>Finance</v>
    <v>5</v>
    <v>171.48</v>
    <v>127.6</v>
    <v>3.395</v>
    <v>2.1924000000000003E-2</v>
    <v>1366941000</v>
    <v>PepsiCo, Inc. Ist ein weltweit tätiges Unternehmen für Getränke und günstige Lebensmittel. Zu den Segmenten des Unternehmens gehören PepsiCo Foods North America (PFNA), PepsiCo Beverages North America (PBNA), International Beverage Franchise (IB Franchise), Europa, Naher Osten und Afrika (EMEA), Latin America Foods (LATAM Foods) und Asia Pacific Foods. Das Segment PFNA umfasst alle seine Lebensmittelgeschäfte in den USA und Kanada. Das Segment PBNA umfasst alle seine Getränkebranchen in den USA und Kanada. Das Segment IB Franchise umfasst seine internationalen Franchise-Getränkegeschäfte sowie sein SodaStream-Geschäft. Das EMEA-Segment umfasst seine Lebensmittelgeschäfte und Getränkegeschäfte mit unternehmenseigenen Abfüllern in Europa, dem Nahen Osten und Afrika. Das Segment LATAM Foods umfasst alle Lebensmittelgeschäfte in Lateinamerika. Das Segment Asia Pacific Foods besteht aus seinen praktischen Lebensmittelgeschäften im asiatisch-pazifischen Raum, darunter China, Australien und Neuseeland sowie Indien.</v>
    <v>0.39179999999999998</v>
    <v>216311578545</v>
    <v>Nasdaq Stock Market</v>
    <v>XNAS</v>
    <v>XNAS</v>
    <v>700 ANDERSON HILL RD, PURCHASE, NY, 10577 US</v>
    <v>159.79</v>
    <v>Beverages</v>
    <v>Aktie</v>
    <v>26.367599999999999</v>
    <v>422</v>
    <v>46128.710890439062</v>
    <v>306000</v>
    <v>Pepsico, Inc.</v>
    <v>154.2627</v>
    <v>Pepsico, Inc.</v>
    <v>155</v>
    <v>158.245</v>
    <v>154.85</v>
    <v>PEP</v>
    <v>Pepsico, Inc. (XNAS:PEP)</v>
    <v>1986</v>
    <v>5055686</v>
    <v>6119471</v>
    <v>USD</v>
  </rv>
  <rv s="2">
    <v>736</v>
  </rv>
  <rv s="1">
    <v>de-DE</v>
    <v>a25ya2</v>
    <v>268435456</v>
    <v>1</v>
    <v>Unterstützt von Refinitiv</v>
    <v>0</v>
    <v>1</v>
    <v>WALMART INC. (XNAS:WMT)</v>
    <v>3</v>
    <v>4</v>
    <v>Finance</v>
    <v>5</v>
    <v>134.69</v>
    <v>90.61</v>
    <v>-0.1</v>
    <v>-8.0150000000000002E-4</v>
    <v>7972402000</v>
    <v>Walmart Inc. Ist ein technologiegestützter Omnichannel-Einzelhändler. Das Unternehmen betreibt Einzelhandels- und Großhandelsgeschäfte und -Clubs sowie E-Commerce-Websites und mobile Anwendungen in den USA, Afrika, Kanada, Zentralamerika, Chile, China, Indien und Mexiko. Das Unternehmen ist in drei berichtspflichtigen Segmenten tätig: Walmart U.S., Walmart International und Sam's Club U.S. das Segment Walmart U.S. umfasst das MassenMerchandising-Konzept des Unternehmens in den USA sowie eCommerce, das Omni-Channel-Initiativen und bestimmte andere Geschäftsangebote wie Werbedienstleistungen umfasst. Das Segment Walmart International besteht aus den Aktivitäten des Unternehmens außerhalb der USA über seine Tochtergesellschaften sowie aus E-Commerce- und Omni-Channel-Initiativen. Das Segment Sam's Club U.S. umfasst die Warehouse-Mitgliedsclubs in den USA sowie samsclub.com und Omni-Channel-Initiativen.</v>
    <v>0.63460000000000005</v>
    <v>993839633320</v>
    <v>Nasdaq Stock Market</v>
    <v>XNAS</v>
    <v>XNAS</v>
    <v>1 Customer Drive, BENTONVILLE, AR, 72716 US</v>
    <v>125.94</v>
    <v>Food &amp; Drug Retailing</v>
    <v>Aktie</v>
    <v>45.667999999999999</v>
    <v>425</v>
    <v>46128.710948807813</v>
    <v>2100000</v>
    <v>WALMART INC.</v>
    <v>123.965</v>
    <v>WALMART INC.</v>
    <v>124.35</v>
    <v>124.66</v>
    <v>124.76</v>
    <v>WMT</v>
    <v>WALMART INC. (XNAS:WMT)</v>
    <v>1969</v>
    <v>6694586</v>
    <v>18884819</v>
    <v>USD</v>
  </rv>
  <rv s="2">
    <v>738</v>
  </rv>
  <rv s="1">
    <v>de-DE</v>
    <v>a1q6k2</v>
    <v>268435456</v>
    <v>1</v>
    <v>Unterstützt von Refinitiv</v>
    <v>0</v>
    <v>1</v>
    <v>COSTCO WHOLESALE CORPORATION (XNAS:COST)</v>
    <v>3</v>
    <v>4</v>
    <v>Finance</v>
    <v>5</v>
    <v>1067.08</v>
    <v>844.06</v>
    <v>1.0149999999999999</v>
    <v>1.031E-3</v>
    <v>443652500</v>
    <v>Die Costco Wholesale Corporation (Costco) betreibt Mitgliedslager und E-Commerce-Websites, die eine Auswahl an Produkten mit nationaler Marke und Eigenmarken in einer Vielzahl von Kategorien anbieten. Das Unternehmen kauft den Großteil seiner Waren direkt von Lieferanten und leitet sie an Cross-Docking-Konsolidierungspunkte (Depots) oder direkt an seine Lager weiter. Sie betreibt 891 Lager, davon 614 in den Vereinigten Staaten und Puerto Rico, 108 in Kanada, 40 in Mexiko, 35 in Japan, 29 im Vereinigten Königreich, 19 in Korea, 15 in Australien, 14 in Taiwan, sieben in China, fünf in Spanien, zwei in Frankreich und jeweils einer in Island, Neuseeland und Schweden. Außerdem betreibt das Unternehmen E-Commerce-Websites in den USA, Kanada, Großbritannien, Mexiko, Korea, Taiwan, Japan und Australien. Das Unternehmen bietet eine große Auswahl an Merchandise-Produkten sowie den Komfort von Spezialabteilungen und exklusiven Services für Mitglieder.</v>
    <v>0.93369999999999997</v>
    <v>437337106662</v>
    <v>Nasdaq Stock Market</v>
    <v>XNAS</v>
    <v>XNAS</v>
    <v>999 Lake Dr, ISSAQUAH, WA, 98027- US</v>
    <v>995.74800000000005</v>
    <v>Diversified Retail</v>
    <v>Aktie</v>
    <v>52.804499999999997</v>
    <v>428</v>
    <v>46128.710933610935</v>
    <v>341000</v>
    <v>COSTCO WHOLESALE CORPORATION</v>
    <v>984</v>
    <v>COSTCO WHOLESALE CORPORATION</v>
    <v>985</v>
    <v>985.76499999999999</v>
    <v>984.75</v>
    <v>COST</v>
    <v>COSTCO WHOLESALE CORPORATION (XNAS:COST)</v>
    <v>1987</v>
    <v>536694</v>
    <v>1728778</v>
    <v>USD</v>
  </rv>
  <rv s="2">
    <v>740</v>
  </rv>
  <rv s="1">
    <v>de-DE</v>
    <v>a1xfoc</v>
    <v>268435456</v>
    <v>1</v>
    <v>Unterstützt von Refinitiv</v>
    <v>0</v>
    <v>1</v>
    <v>Mondelez International, Inc. (XNAS:MDLZ)</v>
    <v>3</v>
    <v>4</v>
    <v>Finance</v>
    <v>5</v>
    <v>71.150000000000006</v>
    <v>51.200800000000001</v>
    <v>0.2</v>
    <v>3.5349999999999999E-3</v>
    <v>1283457000</v>
    <v>Mondelez International, Inc. Ist ein Imbissunternehmen. Das Kerngeschäft des Unternehmens ist die Herstellung und der Verkauf von Schokolade, Keksen und gebackenen Snacks. Das Unternehmen unterhält auch weitere Geschäftsbereiche in benachbarten, lokal relevanten Kategorien, darunter Kaugummi und Süßigkeiten, Käse und Lebensmittel sowie Pulvergetränke. Das Portfolio umfasst globale und lokale Marken wie Oreo, Ritz, LU, Clif Bar und Tate's Bake Shop Kekse und gebackene Snacks sowie Cadbury Milchmilch, Milka und Toblerone Schokolade. Zu den Segmenten des Unternehmens zählen Lateinamerika, AMEA, Europa und Nordamerika. Das Unternehmen verkauft seine Produkte in über 150 Ländern und ist in etwa 80 Ländern tätig, darunter 147 Hauptproduktions- und Verarbeitungsbetriebe in 46 Ländern. Es verkauft seine Produkte an Supermarktketten, Großhändler, Superzentren, Clubläden, Massenhändler, Vertriebshändler, 24-Stunden-Geschäfte, Tankstellen, Drogerien, Value Stores und andere Lebensmitteleinzelhandelsgeschäfte.</v>
    <v>0.35610000000000003</v>
    <v>72874688460</v>
    <v>Nasdaq Stock Market</v>
    <v>XNAS</v>
    <v>XNAS</v>
    <v>905 West Fulton Market, Suite 200, CHICAGO, IL, 60607 US</v>
    <v>56.994999999999997</v>
    <v>Food &amp; Tobacco</v>
    <v>Aktie</v>
    <v>30.0503</v>
    <v>431</v>
    <v>46128.710920971876</v>
    <v>91000</v>
    <v>Mondelez International, Inc.</v>
    <v>56.07</v>
    <v>Mondelez International, Inc.</v>
    <v>56.4</v>
    <v>56.78</v>
    <v>56.58</v>
    <v>MDLZ</v>
    <v>Mondelez International, Inc. (XNAS:MDLZ)</v>
    <v>2000</v>
    <v>2787631</v>
    <v>9931627</v>
    <v>USD</v>
  </rv>
  <rv s="2">
    <v>742</v>
  </rv>
  <rv s="8">
    <v>de-DE</v>
    <v>b1lca2</v>
    <v>268435456</v>
    <v>1</v>
    <v>Unterstützt von Refinitiv</v>
    <v>23</v>
    <v>24</v>
    <v>Nestle Ltd. (XSWX:NESN)</v>
    <v>3</v>
    <v>25</v>
    <v>Finance</v>
    <v>26</v>
    <v>89.43</v>
    <v>69.900000000000006</v>
    <v>0.27</v>
    <v>3.441E-3</v>
    <v>2576520000</v>
    <v>Nestle SA ist ein in der Schweiz ansässiges Unternehmen, das hauptsächlich in der Lebensmittelindustrie tätig ist. Die Segmente des Unternehmens sind Zone Nordamerika (NA), Zone Europa (EUR), Zone Asien, Ozeanien und Afrika (AOA), Zone Lateinamerika (LATAM), Zone Greater China (GC), Nestle Health Science und Nespresso. Zu den Produktkategorien des Unternehmens gehören pulverförmige und flüssige Getränke, Wasser, Milchprodukte und Eis, Ernährungs- und Gesundheitswissenschaften, Fertiggerichte und Kochhilfsmittel, Süßwaren und Heimtierprodukte. Das Markenportfolio des Unternehmens umfasst unter anderem Purina, Cailler, Cini Minis, KitKat, Nespresso und Nescafe. Es ist in über 180 Ländern weltweit tätig. Es hat Verkäufe in verschiedenen Ländern, darunter in den USA, der Region Großchina, Brasilien, Mexiko, Deutschland, das Vereinigte Königreich, Italien, Kanada, Frankreich, die Türkei, Ukraine, Georgien, Ungarn, Malta, Rumänien, Spanien und der Schweiz.</v>
    <v>0.93100000000000005</v>
    <v>193754300000</v>
    <v>SIX Swiss Exchange</v>
    <v>XSWX</v>
    <v>XSWX</v>
    <v>Ave Nesele 55, Ch-1800, VEVEY, VAUD, 1800 CH</v>
    <v>78.989999999999995</v>
    <v>Food &amp; Tobacco</v>
    <v>Aktie</v>
    <v>22.433</v>
    <v>434</v>
    <v>46128.697939814818</v>
    <v>271000</v>
    <v>Nestle Ltd.</v>
    <v>77.83</v>
    <v>Nestle Ltd.</v>
    <v>78.33</v>
    <v>78.739999999999995</v>
    <v>78.739999999999995</v>
    <v>78.47</v>
    <v>NESN</v>
    <v>Nestle Ltd. (XSWX:NESN)</v>
    <v>1905</v>
    <v>0</v>
    <v>0</v>
    <v>2981397</v>
    <v>3410740</v>
    <v>CHF</v>
  </rv>
  <rv s="2">
    <v>744</v>
  </rv>
  <rv s="1">
    <v>de-DE</v>
    <v>a24kar</v>
    <v>268435456</v>
    <v>1</v>
    <v>Unterstützt von Refinitiv</v>
    <v>0</v>
    <v>1</v>
    <v>TESLA, INC. (XNAS:TSLA)</v>
    <v>3</v>
    <v>4</v>
    <v>Finance</v>
    <v>5</v>
    <v>498.83</v>
    <v>222.79</v>
    <v>-3.5733999999999999</v>
    <v>-9.1170000000000001E-3</v>
    <v>3752432000</v>
    <v>Tesla, Inc. entwickelt, produziert, vertreibt und vermietet leistungsstarke vollelektrische Fahrzeuge sowie Energieerzeugungs- und -speichersysteme und bietet Dienstleistungen rund um seine Produkte an. Die Geschäftsbereiche umfassen den Automobilbereich sowie die Energieerzeugung und -speicherung. Der Automobilbereich umfasst die Entwicklung, Produktion, den Vertrieb und die Vermietung von leistungsstarken vollelektrischen Fahrzeugen sowie den Verkauf von Emissionszertifikaten. Er umfasst außerdem den Verkauf von Gebrauchtfahrzeugen, kostenpflichtige Wartungs- und Reparaturdienstleistungen, den Verkauf von Ersatzteilen, kostenpflichtiges Supercharging, Einnahmen aus Versicherungsdienstleistungen und den Verkauf von Einzelhandelsprodukten. Der Bereich Energieerzeugung und -speicherung umfasst die Entwicklung, Herstellung, Installation, den Vertrieb und die Vermietung von Solarenergieerzeugungs- und Energiespeicherprodukten sowie damit verbundenen Dienstleistungen und den Verkauf von Förderprogrammen für Solarenergiesysteme. Zu den Pkw-Modellen gehören das Model 3, Y, S, X und der Cybertruck. Zu den Lithium-Ionen-Batteriespeichersystemen gehören Powerwall und Megapack.</v>
    <v>1.8774</v>
    <v>1457356781891</v>
    <v>Nasdaq Stock Market</v>
    <v>XNAS</v>
    <v>XNAS</v>
    <v>1 Tesla Road, AUSTIN, TX, 78725 US</v>
    <v>394.06</v>
    <v>Automobiles &amp; Auto Parts</v>
    <v>Aktie</v>
    <v>361.14620000000002</v>
    <v>437</v>
    <v>46128.710937198441</v>
    <v>134785</v>
    <v>TESLA, INC.</v>
    <v>381.8</v>
    <v>TESLA, INC.</v>
    <v>394.06</v>
    <v>388.3766</v>
    <v>391.95</v>
    <v>TSLA</v>
    <v>TESLA, INC. (XNAS:TSLA)</v>
    <v>2024</v>
    <v>42868403</v>
    <v>65923073</v>
    <v>USD</v>
  </rv>
  <rv s="2">
    <v>746</v>
  </rv>
  <rv s="1">
    <v>de-DE</v>
    <v>a1uj52</v>
    <v>268435456</v>
    <v>1</v>
    <v>Unterstützt von Refinitiv</v>
    <v>0</v>
    <v>1</v>
    <v>THE HOME DEPOT, INC. (XNYS:HD)</v>
    <v>3</v>
    <v>4</v>
    <v>Finance</v>
    <v>5</v>
    <v>426.75</v>
    <v>315.31</v>
    <v>-1.0349999999999999</v>
    <v>-3.0539999999999999E-3</v>
    <v>996027600</v>
    <v>Home Depot, Inc. Ist ein Spezialhändler für Heimwerkerarbeit. Das Unternehmen bietet eine Reihe von Baumaterialien, Produkten zur Verbesserung von Häusern, Rasen- und Gartenprodukten, Dekorationsprodukten sowie Wartungs-, Reparatur- und Betriebsprodukten für Einrichtungen, in Geschäften und online. Es bietet auch verschiedene Dienstleistungen an, einschließlich Installationsdienstleistungen für Wohngebäude und Vermietung von Werkzeugen und Ausrüstungen. Das Unternehmen betreibt etwa 2.353 Einzelhandelsgeschäfte, mehr als 800 Filialen und mehr als 325 Vertriebszentren, die Kundenaufträge direkt in allen 50 bundesstaaten, im District of Columbia, Puerto Rico, den US-amerikanischen Jungferninseln, Guam, 10 kanadischen Provinzen und Mexiko abwickeln. Die Geschäfte sind im Durchschnitt etwa 105.000 Quadratfuß umschlossener Fläche, mit ca. 24.000 Quadratfuß Außenfläche. Das Unternehmen betreut zwei primäre Kundengruppen, darunter Do-it-yourself (DIY) und Do-it-for-me (DIFM) Kunden und professionelle Kunden (Pros).</v>
    <v>1.0563</v>
    <v>336532825350</v>
    <v>New York Stock Exchange</v>
    <v>XNYS</v>
    <v>XNYS</v>
    <v>2455 Paces Ferry Road, ATLANTA, GA, 30339 US</v>
    <v>341.97989999999999</v>
    <v>Specialty Retailers</v>
    <v>Aktie</v>
    <v>23.735199999999999</v>
    <v>440</v>
    <v>46128.710924941406</v>
    <v>472400</v>
    <v>THE HOME DEPOT, INC.</v>
    <v>336.69</v>
    <v>THE HOME DEPOT, INC.</v>
    <v>339.5</v>
    <v>337.875</v>
    <v>338.91</v>
    <v>HD</v>
    <v>THE HOME DEPOT, INC. (XNYS:HD)</v>
    <v>1978</v>
    <v>1129453</v>
    <v>4002276</v>
    <v>USD</v>
  </rv>
  <rv s="2">
    <v>748</v>
  </rv>
  <rv s="5">
    <v>de-DE</v>
    <v>a1xdec</v>
    <v>268435456</v>
    <v>1</v>
    <v>Unterstützt von Refinitiv</v>
    <v>8</v>
    <v>9</v>
    <v>MCDONALD'S CORPORATION (XNYS:MCD)</v>
    <v>11</v>
    <v>12</v>
    <v>Finance</v>
    <v>5</v>
    <v>341.75</v>
    <v>283.47000000000003</v>
    <v>0.51</v>
    <v>1.665E-3</v>
    <v>710827600</v>
    <v>McDonald's Corporation ist ein weltweit tätiger Lebensmittelhändler. Das Segment umfasst US-amerikanische, International Operated Markets und International Development Licensed Markets &amp; Corporate. Das US-Segment ist sein größter Markt und ist zu 95 % Franchise. Das Segment International Operated Markets setzt sich aus Märkten oder Ländern zusammen, in denen es tätig ist und Franchisegeschäfte ausführt, darunter Australien, Kanada, Frankreich, Deutschland, Italien, Polen, Spanien und Vereinigtes Königreich. Dieses Segment ist zu 89 % Franchise. Das Segment International Developmental Licensed Markets &amp; Corporate umfasst entwicklungsorientierte Lizenznehmer- und Partnermärkte, einschließlich Beteiligungen nach der Equity-Methode in China und Japan. Dieses Segment ist zu 99 % Franchise. Die Speisekarte umfasst Hamburger und Cheeseburger, den Big Mac, den Quarter Pounder mit Käse, den Filet-O-Fisch und mehrere Hühnchen-Sandwiches, wie McChicken und McCrispy sowie Chicken McNuggets, Pommes Frites, Shakes, Eisbecher, Kekse, alkoholfreie Getränke, Kaffee und andere Getränke.</v>
    <v>0.49070000000000003</v>
    <v>445</v>
    <v>218060582852</v>
    <v>New York Stock Exchange</v>
    <v>XNYS</v>
    <v>XNYS</v>
    <v>110 N Carpenter St, CHICAGO, IL, 60607-2104 US</v>
    <v>308.27</v>
    <v>Hotels &amp; Entertainment Services</v>
    <v>Aktie</v>
    <v>25.663799999999998</v>
    <v>446</v>
    <v>46128.710928738285</v>
    <v>150000</v>
    <v>MCDONALD'S CORPORATION</v>
    <v>304.57</v>
    <v>MCDONALD'S CORPORATION</v>
    <v>306.55</v>
    <v>306.77</v>
    <v>306.26</v>
    <v>MCD</v>
    <v>MCDONALD'S CORPORATION (XNYS:MCD)</v>
    <v>1964</v>
    <v>1002501</v>
    <v>3052453</v>
    <v>USD</v>
  </rv>
  <rv s="2">
    <v>750</v>
  </rv>
  <rv s="1">
    <v>de-DE</v>
    <v>a1yjxm</v>
    <v>268435456</v>
    <v>1</v>
    <v>Unterstützt von Refinitiv</v>
    <v>0</v>
    <v>1</v>
    <v>NIKE, INC. (XNYS:NKE)</v>
    <v>3</v>
    <v>4</v>
    <v>Finance</v>
    <v>5</v>
    <v>80.165000000000006</v>
    <v>42.09</v>
    <v>0.505</v>
    <v>1.1113999999999999E-2</v>
    <v>1480887000</v>
    <v>NIKE, Inc. Entwickelt, vermarktet und vertreibt Sportschuhe, Bekleidung, Ausrüstung und Zubehör sowie Dienstleistungen für Sport- und Fitnessaktivitäten. Zu den operativen Segmenten des Unternehmens gehören Nordamerika, Europa, Naher Osten und Afrika (EMEA), Großchina sowie Asien-Pazifik und Lateinamerika (APLA). Unter dem Markennamen NIKE verkauft das Unternehmen eine Reihe von Ausrüstung und Zubehör, darunter Taschen, Socken, Sportbälle, Brillen, Zeitmesser, digitale Geräte, Fledermäuse, Handschuhe, Schutzausrüstung und andere Ausrüstung für sportliche Aktivitäten. Außerdem werden Produkte speziell für die Marke Jordan und Converse entwickelt. Die Marke Jordan entwirft, vertreibt und lizenziert sportliche und legere Schuhe, Bekleidung und Accessoires, die hauptsächlich auf Basketball-Performance und -Kultur ausgerichtet sind, und verwendet die Marke Jumpman. Das Unternehmen entwirft, vertreibt und lizenziert auch Freizeitschuhe, Bekleidung und Accessoires unter den Marken Chuck Taylor, All Star, One Star, Star Chevron und Jack Purcell.</v>
    <v>1.2143999999999999</v>
    <v>68039353215</v>
    <v>New York Stock Exchange</v>
    <v>XNYS</v>
    <v>XNYS</v>
    <v>One Bowerman Dr, BEAVERTON, OR, 97005-6453 US</v>
    <v>46.49</v>
    <v>Textiles &amp; Apparel</v>
    <v>Aktie</v>
    <v>26.940899999999999</v>
    <v>449</v>
    <v>46128.71094004609</v>
    <v>77800</v>
    <v>NIKE, INC.</v>
    <v>45.55</v>
    <v>NIKE, INC.</v>
    <v>45.79</v>
    <v>45.945</v>
    <v>45.44</v>
    <v>NKE</v>
    <v>NIKE, INC. (XNYS:NKE)</v>
    <v>1969</v>
    <v>12118179</v>
    <v>25771451</v>
    <v>USD</v>
  </rv>
  <rv s="2">
    <v>752</v>
  </rv>
  <rv s="1">
    <v>de-DE</v>
    <v>a22k9c</v>
    <v>268435456</v>
    <v>1</v>
    <v>Unterstützt von Refinitiv</v>
    <v>0</v>
    <v>1</v>
    <v>STARBUCKS CORPORATION (XNAS:SBUX)</v>
    <v>3</v>
    <v>4</v>
    <v>Finance</v>
    <v>5</v>
    <v>104.82</v>
    <v>75.5</v>
    <v>-0.44</v>
    <v>-4.4740000000000005E-3</v>
    <v>1139300000</v>
    <v>Starbucks Corporations ist ein weltweit tätiger Röster, Vermarkter und Einzelhändler von Spezialitätenkaffee. Das Segment Nordamerika umfasst die USA und Kanada. Das Segment International umfasst China, Japan, den Asien-Pazifik-Raum, Europa, den Nahen Osten und Afrika, Lateinamerika und die Karibik. Die Segmente Nordamerika und International umfassen sowohl unternehmenseigene als auch lizenzierte Geschäfte. Das Segment Channel Development umfasst geröstete ganze Bohnen und gemahlenen Kaffee, Einzelportionsprodukte der Marke Starbucks, eine Vielzahl trinkfertiger Getränke wie Frappuccino und Starbucks Doubleshot, Foodservice-Produkte und sonstige Markenprodukte, die außerhalb der unternehmenseigenen und lizenzierten Geschäfte verkauft werden. Ein großer Teil des Channel-Development-Geschäfts wird im Rahmen eines lizenzierten Modells der Global Coffee Alliance mit Nestlé betrieben, während die globalen Geschäfte für trinkfertige Getränke im Rahmen von Kooperationen mit PepsiCo, Inc., Tingyi-Ashi Beverages Holding Co., Ltd., Arla Foods amba, Nestlé und anderen betrieben werden.</v>
    <v>0.9617</v>
    <v>111537470000</v>
    <v>Nasdaq Stock Market</v>
    <v>XNAS</v>
    <v>XNAS</v>
    <v>2401 Utah Ave S, Ms: S-La1, SEATTLE, WA, 98134 US</v>
    <v>99.15</v>
    <v>Hotels &amp; Entertainment Services</v>
    <v>Aktie</v>
    <v>81.556100000000001</v>
    <v>452</v>
    <v>46128.710935948438</v>
    <v>381000</v>
    <v>STARBUCKS CORPORATION</v>
    <v>97.83</v>
    <v>STARBUCKS CORPORATION</v>
    <v>98.34</v>
    <v>97.9</v>
    <v>98.34</v>
    <v>SBUX</v>
    <v>STARBUCKS CORPORATION (XNAS:SBUX)</v>
    <v>1985</v>
    <v>2115418</v>
    <v>7770543</v>
    <v>USD</v>
  </rv>
  <rv s="2">
    <v>754</v>
  </rv>
  <rv s="1">
    <v>de-DE</v>
    <v>az6g8m</v>
    <v>268435456</v>
    <v>1</v>
    <v>Unterstützt von Refinitiv</v>
    <v>0</v>
    <v>1</v>
    <v>BOOKING HOLDINGS INC. (XNAS:BKNG)</v>
    <v>3</v>
    <v>4</v>
    <v>Finance</v>
    <v>5</v>
    <v>233.57650000000001</v>
    <v>150.61799999999999</v>
    <v>0.15</v>
    <v>8.0780000000000001E-4</v>
    <v>791833700</v>
    <v>Booking Holdings Inc. Ist ein Anbieter von Online-Reservierungen für Reisen und Restaurants und damit zusammenhängenden Dienstleistungen. Das Unternehmen bietet seine Dienstleistungen über fünf Hauptmarken für Verbraucher an: Booking.com, Priceline, Agoda, KAYAK und OpenTable. Über seine Marken können Verbraucher eine Vielzahl von Unterkünften buchen (darunter Hotels, Motels, Resorts, Häuser, Apartments, Bed and Breakfasts, Hostels und andere alternative und traditionelle Unterkünfte) und einen Flug zu ihren Zielen; Reservieren Sie eine Autovermietung oder arrangieren Sie ein Flughafentaxi; reservieren Sie ein Abendessen; oder buchen Sie ein Urlaubspaket, eine Tour, Aktivität oder eine Kreuzfahrt. Verbraucher können die Meta-Suchdienste auch nutzen, um Reisebuchungsinformationen wie Flug-, Hotel- und Mietwagenreservierungen von Hunderten von Online-Reiseplattformen auf einmal zu vergleichen. Booking.com bietet Reservierungsdienste für rund 4,0 Millionen Immobilien in über 220 Ländern und Gebieten und in über 40 Sprachen.</v>
    <v>1.206</v>
    <v>147154374808</v>
    <v>Nasdaq Stock Market</v>
    <v>XNAS</v>
    <v>XNAS</v>
    <v>800 CONNECTICUT AVE, NORWALK, CT, 06854-1631 US</v>
    <v>188.17</v>
    <v>Hotels &amp; Entertainment Services</v>
    <v>Aktie</v>
    <v>27.9665</v>
    <v>455</v>
    <v>46128.710801399997</v>
    <v>24300</v>
    <v>BOOKING HOLDINGS INC.</v>
    <v>185.4</v>
    <v>BOOKING HOLDINGS INC.</v>
    <v>186.42</v>
    <v>185.84</v>
    <v>185.69</v>
    <v>BKNG</v>
    <v>BOOKING HOLDINGS INC. (XNAS:BKNG)</v>
    <v>1998</v>
    <v>1862145</v>
    <v>7470195</v>
    <v>USD</v>
  </rv>
  <rv s="2">
    <v>756</v>
  </rv>
  <rv s="1">
    <v>de-DE</v>
    <v>a1o4mw</v>
    <v>268435456</v>
    <v>1</v>
    <v>Unterstützt von Refinitiv</v>
    <v>0</v>
    <v>1</v>
    <v>Alibaba Group Holding Limited (XNYS:BABA)</v>
    <v>3</v>
    <v>4</v>
    <v>Finance</v>
    <v>5</v>
    <v>192.67</v>
    <v>103.71</v>
    <v>5.7850000000000001</v>
    <v>4.3404999999999999E-2</v>
    <v>2391756000</v>
    <v>Die Alibaba Group Holding Ltd ist eine Beteiligungsgesellschaft, die hauptsächlich in der Bereitstellung von Technologieinfrastruktur und Marketingplattformen tätig ist. Das Unternehmen betreibt sein Geschäft in neun Segmenten. Das Segment China Commerce Retail ist im chinesischen Handel tätig. Das Segment China Commerce Wholesale ist hauptsächlich im Geschäftsfeld 1688.com tätig. Das Segment Cloud Intelligence bietet Cloud-Services. Das Segment International Commerce Retail bietet Kundenmanagement, Warenverkauf und Logistikdienstleistungen. Der internationale Handel Großhandelssektor ist hauptsächlich im Jahr Alibaba.com tätig. Das Segment „Cainiao“ repräsentiert Logistics Services und bietet Fulfillment-Services an. Der Umsatz des Segments Local Services umfasst Plattformprovisionen und Einnahmen aus Logistikdienstleistungen. Das Segment digitale Medien und Unterhaltung betreibt Youku und Alibaba. Das Segment „alle anderen“ ist hauptsächlich in den Bereichen Sun Art, Freshippo und Sonstiges tätig.</v>
    <v>0.51160000000000005</v>
    <v>332609548140</v>
    <v>New York Stock Exchange</v>
    <v>XNYS</v>
    <v>XNYS</v>
    <v>26/F Tower One, Times Square 1 Matheson Street Causeway Bay, Shedden Road HK</v>
    <v>140.9</v>
    <v>Software &amp; IT Services</v>
    <v>Aktie</v>
    <v>18.9132</v>
    <v>458</v>
    <v>46128.710951990623</v>
    <v>128197</v>
    <v>Alibaba Group Holding Limited</v>
    <v>135.73500000000001</v>
    <v>Alibaba Group Holding Limited</v>
    <v>137.80000000000001</v>
    <v>139.065</v>
    <v>133.28</v>
    <v>BABA</v>
    <v>Alibaba Group Holding Limited (XNYS:BABA)</v>
    <v>1999</v>
    <v>11668008</v>
    <v>10991763</v>
    <v>USD</v>
  </rv>
  <rv s="2">
    <v>758</v>
  </rv>
  <rv s="1">
    <v>de-DE</v>
    <v>a1xh8m</v>
    <v>268435456</v>
    <v>1</v>
    <v>Unterstützt von Refinitiv</v>
    <v>0</v>
    <v>1</v>
    <v>MercadoLibre, Inc. (XNAS:MELI)</v>
    <v>3</v>
    <v>4</v>
    <v>Finance</v>
    <v>5</v>
    <v>2645.22</v>
    <v>1593.21</v>
    <v>-30.98</v>
    <v>-1.6548E-2</v>
    <v>50697180</v>
    <v>MercadoLibre Inc. Ist ein in Uruguay ansässiger E-Commerce-Anbieter argentinischer Herkunft. Die Produkte des elektronischen Geschäftsverkehrs ermöglichen den Einzelhandel und den Großhandel über Internetplattformen, die den Nutzern ein Portfolio von Diensten zur Erleichterung des Geschäftsverkehrs bieten. Die geografische Abdeckung des Unternehmens umfasst 18 Länder Lateinamerikas. Das Hauptangebot ist ein Ökosystem aus sechs integrierten E-Commerce-Services: Dem Mercado Libre Marketplace, dem Mercado Libre Classifieds Service, der Zahlungslösung Mercado Pago, den Finanzlösungen Mercado Credito, den Logistiklösungen Mercado Envios einschließlich Versand, der Werbeplattform Mercado Ads und der digitalen Storefront-Lösung Mercado Shops.</v>
    <v>1.4799</v>
    <v>93340605985</v>
    <v>Nasdaq Stock Market</v>
    <v>XNAS</v>
    <v>XNAS</v>
    <v>WTC FREE ZONE DR. LUIS BONAVITA 1294, 11300 UY</v>
    <v>1891.5</v>
    <v>Software &amp; IT Services</v>
    <v>Aktie</v>
    <v>46.7361</v>
    <v>461</v>
    <v>46128.710911932816</v>
    <v>123670</v>
    <v>MercadoLibre, Inc.</v>
    <v>1815</v>
    <v>MercadoLibre, Inc.</v>
    <v>1860.74</v>
    <v>1841.14</v>
    <v>1872.12</v>
    <v>MELI</v>
    <v>MercadoLibre, Inc. (XNAS:MELI)</v>
    <v>1999</v>
    <v>205552</v>
    <v>472436</v>
    <v>USD</v>
  </rv>
  <rv s="2">
    <v>760</v>
  </rv>
  <rv s="9">
    <v>de-DE</v>
    <v>a1w2u2</v>
    <v>268435456</v>
    <v>1</v>
    <v>Unterstützt von Refinitiv</v>
    <v>27</v>
    <v>28</v>
    <v>JD.COM, INC. (XNAS:JD)</v>
    <v>3</v>
    <v>44</v>
    <v>Finance</v>
    <v>5</v>
    <v>38.08</v>
    <v>24.507999999999999</v>
    <v>0.15989999999999999</v>
    <v>5.0809999999999996E-3</v>
    <v>1593777000</v>
    <v>JD.Com Inc. Ist ein Unternehmen, das hauptsächlich im E-Commerce-Geschäft tätig ist, einschließlich des Online-Einzelhandels und des Online-Marktplatzes, hauptsächlich über seine mobilen Apps für den Einzelhandel und die Website www.jd.com (zusammen JD Platform). Das Unternehmen betreibt seine Geschäfte in vier Segmenten. Das Segment JD Retail, einschließlich JD Health, JD Industrials und anderer Komponenten, ist hauptsächlich im Online-Einzelhandel, Online-Marktplatz und Marketingdienstleistungen in China tätig. Das Segment JD Logistics umfasst sowohl interne als auch externe Logistikbereiche. Das Dada-Segment ist eine lokale Plattform für On-Demand-Lieferungen und Einzelhandel in China. Das Segment der Neugeschäftsbereiche umfasst hauptsächlich JD Property, Jingxi und Auslandsgeschäfte. Das Unternehmen ist hauptsächlich auf dem Inlandsmarkt und im Ausland tätig.</v>
    <v>0.43169999999999997</v>
    <v>50411007132</v>
    <v>Nasdaq Stock Market</v>
    <v>XNAS</v>
    <v>XNAS</v>
    <v>Kechuang 11 Street, Yizhuang Economic and Technological Development Zone, BEIJING, 101111 CN</v>
    <v>31.95</v>
    <v>Diversified Retail</v>
    <v>Aktie</v>
    <v>10.5349</v>
    <v>464</v>
    <v>46128.71093611094</v>
    <v>570895</v>
    <v>JD.COM, INC.</v>
    <v>31.145</v>
    <v>JD.COM, INC.</v>
    <v>31.57</v>
    <v>31.629899999999999</v>
    <v>31.47</v>
    <v>JD</v>
    <v>JD.COM, INC. (XNAS:JD)</v>
    <v>9149944</v>
    <v>10794023</v>
    <v>USD</v>
  </rv>
  <rv s="2">
    <v>762</v>
  </rv>
  <rv s="1">
    <v>de-DE</v>
    <v>a22wz2</v>
    <v>268435456</v>
    <v>1</v>
    <v>Unterstützt von Refinitiv</v>
    <v>0</v>
    <v>1</v>
    <v>SHOPIFY INC. (XNAS:SHOP)</v>
    <v>3</v>
    <v>4</v>
    <v>Finance</v>
    <v>5</v>
    <v>182.19</v>
    <v>80.349999999999994</v>
    <v>0.87</v>
    <v>6.8279999999999999E-3</v>
    <v>1304111000</v>
    <v>Shopify Inc. (Shopify) ist ein in Kanada ansässiges globales Handelsunternehmen. Das Unternehmen bietet wichtige Internet-Infrastruktur für den Handel und bietet Tools für die Gründung, das Wachstum, die Vermarktung und die Verwaltung eines Einzelhandelsgeschäfts jeder Größe. Sie bietet Plattformen und Services, die speziell entwickelt wurden und Kunden online, im Geschäft und überall dazwischen ein Einkaufserlebnis bieten. Die Software ermöglicht es Händlern, ihr Geschäft über alle Vertriebskanäle zu führen, einschließlich Web- und Mobile-Storefronts, physische Einzelhandelsstandorte, Social-Media-Storefronts und Marketplace-Sites. Die Shopify-Plattform des Unternehmens bietet Händlern eine zentrale Ansicht ihres Geschäfts über alle Vertriebskanäle hinweg und ermöglicht es ihnen, Produkte und Lagerbestände zu verwalten, Bestellungen und Zahlungen zu bearbeiten, Bestellungen zu erfüllen und zu versenden, Kundenbeziehungen aufzubauen, Produkte zu beschaffen, Analysen und Berichte zu nutzen, und Zugang zu Finanzierungsmöglichkeiten – alles über ein integriertes Back-Office. Die Shopify's Plattform ist in 175 Ländern vertreten.</v>
    <v>2.7751000000000001</v>
    <v>167291359080</v>
    <v>Nasdaq Stock Market</v>
    <v>XNAS</v>
    <v>XNAS</v>
    <v>151 O'connor Street, Ground Floor, OTTAWA, ON, K2P 2L8 CA</v>
    <v>130.69</v>
    <v>Software &amp; IT Services</v>
    <v>Aktie</v>
    <v>137.38890000000001</v>
    <v>467</v>
    <v>46128.710895057811</v>
    <v>7600</v>
    <v>SHOPIFY INC.</v>
    <v>125.84</v>
    <v>SHOPIFY INC.</v>
    <v>130.12</v>
    <v>128.28</v>
    <v>127.41</v>
    <v>SHOP</v>
    <v>SHOPIFY INC. (XNAS:SHOP)</v>
    <v>2004</v>
    <v>3269274</v>
    <v>7971232</v>
    <v>USD</v>
  </rv>
  <rv s="2">
    <v>764</v>
  </rv>
  <rv s="1">
    <v>de-DE</v>
    <v>a1sar7</v>
    <v>268435456</v>
    <v>1</v>
    <v>Unterstützt von Refinitiv</v>
    <v>0</v>
    <v>1</v>
    <v>ETSY, INC. (XNYS:ETSY)</v>
    <v>3</v>
    <v>4</v>
    <v>Finance</v>
    <v>5</v>
    <v>76.515000000000001</v>
    <v>41.505000000000003</v>
    <v>1.98</v>
    <v>3.4185E-2</v>
    <v>96247180</v>
    <v>Etsy, Inc. Betreibt zweiseitige Online-Marketplace-Sites, die Käufer und Verkäufer auf der ganzen Welt miteinander verbinden. Der primäre Marktplatz des Unternehmens, Etsy.com, ist der globale Zielort für Waren, die von unabhängigen Verkäufern hergestellt werden. Neben dem zentralen Marktplatz Etsy besteht das House of Brand aus Depop Limited (Depop), dem Wiederverkaufsmarkt für Mode. Jeder Marktplatz arbeitet in erster Linie unabhängig und profitiert dabei von gemeinsamer Expertise in Produktentwicklung, Marketing, Technologie und Kundensupport. Zu den sechs wichtigsten Einzelhandelskategorien des Unternehmens auf dem Etsy-Marktplatz gehören Haushaltswaren und Wohnmöbel, Schmuck und persönliche Accessoires, Bekleidung, Bastelbedarf, Papier- und Partybedarf sowie Spielzeug und Spiele.</v>
    <v>1.8269</v>
    <v>5765206082</v>
    <v>New York Stock Exchange</v>
    <v>XNYS</v>
    <v>XNYS</v>
    <v>117 Adams Street, BROOKLYN, NY, 11201 US</v>
    <v>60.43</v>
    <v>Diversified Retail</v>
    <v>Aktie</v>
    <v>49.557400000000001</v>
    <v>470</v>
    <v>46128.710919756253</v>
    <v>2375</v>
    <v>ETSY, INC.</v>
    <v>58.01</v>
    <v>ETSY, INC.</v>
    <v>58.01</v>
    <v>59.9</v>
    <v>57.92</v>
    <v>ETSY</v>
    <v>ETSY, INC. (XNYS:ETSY)</v>
    <v>2006</v>
    <v>1307097</v>
    <v>2552953</v>
    <v>USD</v>
  </rv>
  <rv s="2">
    <v>766</v>
  </rv>
  <rv s="1">
    <v>de-DE</v>
    <v>a22qp2</v>
    <v>268435456</v>
    <v>1</v>
    <v>Unterstützt von Refinitiv</v>
    <v>0</v>
    <v>1</v>
    <v>SEA LIMITED (XNYS:SE)</v>
    <v>3</v>
    <v>4</v>
    <v>Finance</v>
    <v>5</v>
    <v>199.3</v>
    <v>77.05</v>
    <v>0.57999999999999996</v>
    <v>6.4209999999999996E-3</v>
    <v>546492100</v>
    <v>Sea Limited ist ein Internetunternehmen für Verbraucher. Das Unternehmen betreibt drei Kerngeschäftsbereiche E-Commerce, digitale Finanzdienstleistungen und digitale Unterhaltung, die als Shopee, SeaMoney und Garena bekannt sind. Seine Segmente sind E-Commerce, digitale Finanzdienstleistungen und digitale Unterhaltung. Die Plattform von Garena bietet Online-Spiele für Mobilgeräte und PCs (PC) an und entwickelt mobile Spiele für den globalen Markt. Es bietet E-Sport und bietet Zugriff auf andere Unterhaltungsinhalte und soziale Funktionen, wie Live-Streaming von Gameplay, Benutzer-Chat und Online-Foren. Die Plattform von Shopee ist ein mobiler, auf soziale Medien ausgerichteter Markt. Sie bietet Benutzern eine Einkaufsumgebung mit integrierter Zahlungs-, Logistikinfrastruktur und Verkäuferservices. SeaMoney bietet verschiedene Zahlungsdienste und Kredite an Privatpersonen und Unternehmen. Es ist in Indonesien, Taiwan, Thailand, Singapur, Malaysia, und den Philippinen.</v>
    <v>1.6644000000000001</v>
    <v>49681596811</v>
    <v>New York Stock Exchange</v>
    <v>XNYS</v>
    <v>XNYS</v>
    <v>1 Fusionopolis Place, #17-10 Galaxis, 138522 SG</v>
    <v>93.24</v>
    <v>Software &amp; IT Services</v>
    <v>Aktie</v>
    <v>40.3202</v>
    <v>473</v>
    <v>46128.710877267971</v>
    <v>80700</v>
    <v>SEA LIMITED</v>
    <v>89.81</v>
    <v>SEA LIMITED</v>
    <v>92.75</v>
    <v>90.91</v>
    <v>90.33</v>
    <v>SE</v>
    <v>SEA LIMITED (XNYS:SE)</v>
    <v>2009</v>
    <v>1683540</v>
    <v>3696667</v>
    <v>USD</v>
  </rv>
  <rv s="2">
    <v>768</v>
  </rv>
  <rv s="12">
    <v>0</v>
  </rv>
  <rv s="13">
    <v>{A398F828-5979-4FB2-B981-D0B27C7540B5}</v>
    <v>0</v>
    <v>45</v>
    <v>770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ild" t="r"/>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Preis (nachbörslich)"/>
    <k n="Schlusskurs des Vortags"/>
    <k n="Ticker-Symbol" t="s"/>
    <k n="UniqueName" t="s"/>
    <k n="Unternehmensgründungsjahr"/>
    <k n="Veränderung % (nachbörslich)"/>
    <k n="Veränderung (nachbörslich)"/>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Industrie" t="s"/>
    <k n="Instrumententyp" t="s"/>
    <k n="KGV"/>
    <k n="LearnMoreOnLink" t="r"/>
    <k n="Letzte Handelszeit"/>
    <k n="Mitarbeitende"/>
    <k n="Name" t="s"/>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tzte Handelszeit"/>
    <k n="Name" t="s"/>
    <k n="Niedrig"/>
    <k n="Offizieller Name" t="s"/>
    <k n="Öffnen"/>
    <k n="Preis"/>
    <k n="Schlusskurs des Vortags"/>
    <k n="Ticker-Symbol" t="s"/>
    <k n="UniqueName" t="s"/>
    <k n="Unternehmensgründungsjahr"/>
    <k n="Volumen"/>
    <k n="Volumendurchschnitt"/>
    <k n="Währung" t="s"/>
  </s>
  <s t="_array">
    <k n="array" t="a"/>
  </s>
  <s t="_datasourcecontainer">
    <k n="%XLUID" t="s"/>
    <k n="_CRID" t="i"/>
    <k n="_Display" t="spb"/>
    <k n="Ticker" t="r"/>
  </s>
</rvStructures>
</file>

<file path=xl/richData/rdsupportingpropertybag.xml><?xml version="1.0" encoding="utf-8"?>
<supportingPropertyBags xmlns="http://schemas.microsoft.com/office/spreadsheetml/2017/richdata2">
  <spbArrays count="9">
    <a count="43">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4">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Bild</v>
      <v t="s">ExchangeID</v>
      <v t="s">%ProviderInfo</v>
    </a>
    <a count="41">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Ausstehende Aktien</v>
      <v t="s">Beschreibung</v>
      <v t="s">Mitarbeitende</v>
      <v t="s">Hauptsitz</v>
      <v t="s">Industrie</v>
      <v t="s">Instrumententyp</v>
      <v t="s">Unternehmensgründungsjahr</v>
      <v t="s">_Flags</v>
      <v t="s">UniqueName</v>
      <v t="s">_DisplayString</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Ausstehende Aktien</v>
      <v t="s">Beschreibung</v>
      <v t="s">Mitarbeitende</v>
      <v t="s">Hauptsitz</v>
      <v t="s">Industrie</v>
      <v t="s">Instrumententyp</v>
      <v t="s">Unternehmensgründungsjahr</v>
      <v t="s">_Flags</v>
      <v t="s">UniqueName</v>
      <v t="s">_DisplayString</v>
      <v t="s">LearnMoreOnLink</v>
      <v t="s">ExchangeID</v>
      <v t="s">%ProviderInfo</v>
    </a>
    <a count="46">
      <v t="s">%EntityServiceId</v>
      <v t="s">_Format</v>
      <v t="s">%IsRefreshable</v>
      <v t="s">_CanonicalPropertyNames</v>
      <v t="s">%EntityCulture</v>
      <v t="s">%EntityId</v>
      <v t="s">_Icon</v>
      <v t="s">_Display</v>
      <v t="s">Name</v>
      <v t="s">_SubLabel</v>
      <v t="s">Preis</v>
      <v t="s">Preis (nachbörslich)</v>
      <v t="s">Exchange</v>
      <v t="s">Offizieller Name</v>
      <v t="s">Letzte Handelszeit</v>
      <v t="s">Ticker-Symbol</v>
      <v t="s">Exchange-Abkürzung</v>
      <v t="s">Änderung</v>
      <v t="s">Veränderung (nachbörslich)</v>
      <v t="s">Änderung (%)</v>
      <v t="s">Veränderung % (nachbörslich)</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_Flags</v>
      <v t="s">UniqueName</v>
      <v t="s">_DisplayString</v>
      <v t="s">LearnMoreOnLink</v>
      <v t="s">ExchangeID</v>
      <v t="s">%ProviderInfo</v>
    </a>
    <a count="41">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1">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Hauptsitz</v>
      <v t="s">Industrie</v>
      <v t="s">Instrumententyp</v>
      <v t="s">Unternehmensgründungsjahr</v>
      <v t="s">_Flags</v>
      <v t="s">UniqueName</v>
      <v t="s">_DisplayString</v>
      <v t="s">ExchangeID</v>
      <v t="s">%ProviderInfo</v>
    </a>
    <a count="4">
      <v t="s">Ticker</v>
      <v t="s">_CRID</v>
      <v t="s">%XLUID</v>
      <v t="s">_Display</v>
    </a>
  </spbArrays>
  <spbData count="46">
    <spb s="0">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0</v>
      <v>Name</v>
      <v>LearnMoreOnLink</v>
    </spb>
    <spb s="2">
      <v>0</v>
      <v>0</v>
      <v>0</v>
    </spb>
    <spb s="3">
      <v>2</v>
      <v>2</v>
      <v>2</v>
      <v>2</v>
    </spb>
    <spb s="4">
      <v>1</v>
      <v>1</v>
      <v>2</v>
      <v>3</v>
      <v>2</v>
      <v>2</v>
      <v>4</v>
      <v>2</v>
      <v>2</v>
      <v>5</v>
      <v>4</v>
      <v>6</v>
      <v>2</v>
      <v>2</v>
      <v>7</v>
      <v>4</v>
      <v>8</v>
      <v>4</v>
      <v>2</v>
      <v>9</v>
    </spb>
    <spb s="5">
      <v>Echtzeit  Nasdaq Letzter Verkauf</v>
      <v xml:space="preserve">seit der vorherigen Schließung </v>
      <v>Quelle: Nasdaq Letzter Verkauf</v>
      <v xml:space="preserve">seit der vorherigen Schließung </v>
      <v>GMT</v>
    </spb>
    <spb s="4">
      <v>1</v>
      <v>1</v>
      <v>10</v>
      <v>3</v>
      <v>10</v>
      <v>10</v>
      <v>4</v>
      <v>10</v>
      <v>10</v>
      <v>11</v>
      <v>4</v>
      <v>6</v>
      <v>10</v>
      <v>10</v>
      <v>7</v>
      <v>4</v>
      <v>8</v>
      <v>4</v>
      <v>10</v>
      <v>9</v>
    </spb>
    <spb s="6">
      <v>15 Minuten verzögert</v>
      <v xml:space="preserve">seit der vorherigen Schließung </v>
      <v xml:space="preserve">seit der vorherigen Schließung </v>
      <v>GMT</v>
    </spb>
    <spb s="7">
      <v>P/E</v>
      <v>Beta</v>
      <v>Image</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1</v>
      <v>Name</v>
      <v>LearnMoreOnLink</v>
    </spb>
    <spb s="8">
      <v>0</v>
      <v>0</v>
    </spb>
    <spb s="9">
      <v>10</v>
      <v>2</v>
      <v>2</v>
      <v>2</v>
      <v>2</v>
    </spb>
    <spb s="10">
      <v>1</v>
      <v>1</v>
      <v>12</v>
      <v>2</v>
      <v>3</v>
      <v>2</v>
      <v>2</v>
      <v>4</v>
      <v>2</v>
      <v>2</v>
      <v>5</v>
      <v>4</v>
      <v>6</v>
      <v>2</v>
      <v>2</v>
      <v>7</v>
      <v>4</v>
      <v>8</v>
      <v>4</v>
      <v>2</v>
      <v>9</v>
    </spb>
    <spb s="11">
      <v>Unterstützt von Refinitiv</v>
    </spb>
    <spb s="12">
      <v>Beta</v>
      <v>High</v>
      <v>Name</v>
      <v>Price</v>
      <v>Open</v>
      <v>Low</v>
      <v>Volume</v>
      <v>Currency</v>
      <v>Exchange</v>
      <v>Change</v>
      <v>Headquarters</v>
      <v>Industry</v>
      <v>Market cap</v>
      <v>ExchangeID</v>
      <v>UniqueName</v>
      <v>Description</v>
      <v>Change (%)</v>
      <v>%ProviderInfo</v>
      <v>Employees</v>
      <v>Ticker symbol</v>
      <v>52 week high</v>
      <v>52 week low</v>
      <v>Instrument type</v>
      <v>Official name</v>
      <v>Shares outstanding</v>
      <v>Exchange abbreviation</v>
      <v>Last trade time</v>
      <v>Volume average</v>
      <v>Previous close</v>
      <v>Year incorporated</v>
    </spb>
    <spb s="13">
      <v>2</v>
      <v>Name</v>
    </spb>
    <spb s="14">
      <v>2</v>
      <v>2</v>
      <v>2</v>
    </spb>
    <spb s="15">
      <v>1</v>
      <v>13</v>
      <v>3</v>
      <v>13</v>
      <v>13</v>
      <v>4</v>
      <v>13</v>
      <v>13</v>
      <v>5</v>
      <v>4</v>
      <v>6</v>
      <v>13</v>
      <v>13</v>
      <v>7</v>
      <v>4</v>
      <v>8</v>
      <v>4</v>
      <v>13</v>
      <v>9</v>
    </spb>
    <spb s="6">
      <v>20 Minuten verzögert</v>
      <v xml:space="preserve">seit der vorherigen Schließung </v>
      <v xml:space="preserve">seit der vorherigen Schließung </v>
      <v>GMT</v>
    </spb>
    <spb s="4">
      <v>1</v>
      <v>1</v>
      <v>2</v>
      <v>3</v>
      <v>2</v>
      <v>2</v>
      <v>4</v>
      <v>2</v>
      <v>2</v>
      <v>11</v>
      <v>4</v>
      <v>6</v>
      <v>2</v>
      <v>2</v>
      <v>7</v>
      <v>4</v>
      <v>8</v>
      <v>4</v>
      <v>2</v>
      <v>9</v>
    </spb>
    <spb s="16">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3</v>
      <v>Name</v>
      <v>LearnMoreOnLink</v>
    </spb>
    <spb s="15">
      <v>1</v>
      <v>2</v>
      <v>3</v>
      <v>2</v>
      <v>2</v>
      <v>4</v>
      <v>2</v>
      <v>2</v>
      <v>5</v>
      <v>4</v>
      <v>6</v>
      <v>2</v>
      <v>2</v>
      <v>7</v>
      <v>4</v>
      <v>8</v>
      <v>4</v>
      <v>2</v>
      <v>9</v>
    </spb>
    <spb s="17">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Price (Extended hours)</v>
      <v>Previous close</v>
      <v>Year incorporated</v>
      <v>Change (Extended hours)</v>
      <v>Change % (Extended hours)</v>
    </spb>
    <spb s="1">
      <v>4</v>
      <v>Name</v>
      <v>LearnMoreOnLink</v>
    </spb>
    <spb s="18">
      <v>1</v>
      <v>1</v>
      <v>14</v>
      <v>3</v>
      <v>14</v>
      <v>14</v>
      <v>4</v>
      <v>14</v>
      <v>14</v>
      <v>15</v>
      <v>4</v>
      <v>6</v>
      <v>14</v>
      <v>14</v>
      <v>7</v>
      <v>4</v>
      <v>8</v>
      <v>4</v>
      <v>14</v>
      <v>14</v>
      <v>9</v>
      <v>14</v>
      <v>6</v>
    </spb>
    <spb s="19">
      <v xml:space="preserve">beim Schließen </v>
      <v xml:space="preserve">seit der vorherigen Schließung </v>
      <v xml:space="preserve">seit der vorherigen Schließung </v>
      <v>GMT</v>
      <v>15 Minuten verzögert</v>
      <v xml:space="preserve">seit der Schließung </v>
      <v xml:space="preserve">seit der Schließung </v>
    </spb>
    <spb s="20">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spb>
    <spb s="1">
      <v>5</v>
      <v>Name</v>
      <v>LearnMoreOnLink</v>
    </spb>
    <spb s="21">
      <v>1</v>
      <v>1</v>
      <v>2</v>
      <v>3</v>
      <v>2</v>
      <v>2</v>
      <v>4</v>
      <v>2</v>
      <v>2</v>
      <v>16</v>
      <v>4</v>
      <v>6</v>
      <v>2</v>
      <v>2</v>
      <v>7</v>
      <v>4</v>
      <v>8</v>
      <v>4</v>
      <v>2</v>
    </spb>
    <spb s="4">
      <v>1</v>
      <v>1</v>
      <v>2</v>
      <v>3</v>
      <v>2</v>
      <v>2</v>
      <v>4</v>
      <v>2</v>
      <v>2</v>
      <v>16</v>
      <v>4</v>
      <v>6</v>
      <v>2</v>
      <v>2</v>
      <v>7</v>
      <v>4</v>
      <v>8</v>
      <v>4</v>
      <v>2</v>
      <v>9</v>
    </spb>
    <spb s="15">
      <v>1</v>
      <v>2</v>
      <v>3</v>
      <v>2</v>
      <v>2</v>
      <v>4</v>
      <v>2</v>
      <v>2</v>
      <v>16</v>
      <v>4</v>
      <v>6</v>
      <v>2</v>
      <v>2</v>
      <v>7</v>
      <v>4</v>
      <v>8</v>
      <v>4</v>
      <v>2</v>
      <v>9</v>
    </spb>
    <spb s="4">
      <v>1</v>
      <v>1</v>
      <v>10</v>
      <v>3</v>
      <v>10</v>
      <v>10</v>
      <v>4</v>
      <v>10</v>
      <v>10</v>
      <v>17</v>
      <v>4</v>
      <v>6</v>
      <v>10</v>
      <v>10</v>
      <v>7</v>
      <v>4</v>
      <v>8</v>
      <v>4</v>
      <v>10</v>
      <v>9</v>
    </spb>
    <spb s="4">
      <v>1</v>
      <v>1</v>
      <v>18</v>
      <v>3</v>
      <v>18</v>
      <v>18</v>
      <v>4</v>
      <v>18</v>
      <v>18</v>
      <v>19</v>
      <v>4</v>
      <v>6</v>
      <v>18</v>
      <v>18</v>
      <v>7</v>
      <v>4</v>
      <v>8</v>
      <v>4</v>
      <v>18</v>
      <v>9</v>
    </spb>
    <spb s="5">
      <v>15 Minuten verzögert</v>
      <v xml:space="preserve">seit der vorherigen Schließung </v>
      <v>LSE</v>
      <v xml:space="preserve">seit der vorherigen Schließung </v>
      <v>GMT</v>
    </spb>
    <spb s="22">
      <v>P/E</v>
      <v>Beta</v>
      <v>Name</v>
      <v>Price</v>
      <v>Open</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6</v>
      <v>Name</v>
      <v>LearnMoreOnLink</v>
    </spb>
    <spb s="23">
      <v>1</v>
      <v>1</v>
      <v>3</v>
      <v>18</v>
      <v>4</v>
      <v>18</v>
      <v>18</v>
      <v>19</v>
      <v>4</v>
      <v>6</v>
      <v>18</v>
      <v>18</v>
      <v>7</v>
      <v>4</v>
      <v>8</v>
      <v>4</v>
      <v>18</v>
      <v>9</v>
    </spb>
    <spb s="4">
      <v>1</v>
      <v>1</v>
      <v>20</v>
      <v>3</v>
      <v>20</v>
      <v>20</v>
      <v>4</v>
      <v>20</v>
      <v>20</v>
      <v>21</v>
      <v>4</v>
      <v>6</v>
      <v>20</v>
      <v>20</v>
      <v>7</v>
      <v>4</v>
      <v>8</v>
      <v>4</v>
      <v>20</v>
      <v>9</v>
    </spb>
    <spb s="4">
      <v>1</v>
      <v>1</v>
      <v>2</v>
      <v>3</v>
      <v>2</v>
      <v>2</v>
      <v>4</v>
      <v>2</v>
      <v>2</v>
      <v>19</v>
      <v>4</v>
      <v>6</v>
      <v>2</v>
      <v>2</v>
      <v>7</v>
      <v>4</v>
      <v>8</v>
      <v>4</v>
      <v>2</v>
      <v>9</v>
    </spb>
    <spb s="4">
      <v>1</v>
      <v>1</v>
      <v>2</v>
      <v>3</v>
      <v>2</v>
      <v>2</v>
      <v>4</v>
      <v>2</v>
      <v>2</v>
      <v>22</v>
      <v>4</v>
      <v>6</v>
      <v>2</v>
      <v>2</v>
      <v>7</v>
      <v>4</v>
      <v>8</v>
      <v>4</v>
      <v>2</v>
      <v>9</v>
    </spb>
    <spb s="24">
      <v>P/E</v>
      <v>Beta</v>
      <v>High</v>
      <v>Name</v>
      <v>Price</v>
      <v>Open</v>
      <v>Low</v>
      <v>Volume</v>
      <v>Currency</v>
      <v>Exchange</v>
      <v>Change</v>
      <v>Headquarters</v>
      <v>Industry</v>
      <v>Market cap</v>
      <v>ExchangeID</v>
      <v>UniqueName</v>
      <v>Description</v>
      <v>Change (%)</v>
      <v>%ProviderInfo</v>
      <v>Ticker symbol</v>
      <v>52 week high</v>
      <v>52 week low</v>
      <v>Instrument type</v>
      <v>Official name</v>
      <v>Shares outstanding</v>
      <v>Exchange abbreviation</v>
      <v>Last trade time</v>
      <v>Volume average</v>
      <v>Previous close</v>
      <v>Year incorporated</v>
    </spb>
    <spb s="13">
      <v>7</v>
      <v>Name</v>
    </spb>
    <spb s="25">
      <v>1</v>
      <v>1</v>
      <v>2</v>
      <v>3</v>
      <v>2</v>
      <v>2</v>
      <v>4</v>
      <v>2</v>
      <v>2</v>
      <v>5</v>
      <v>6</v>
      <v>2</v>
      <v>2</v>
      <v>7</v>
      <v>4</v>
      <v>8</v>
      <v>4</v>
      <v>2</v>
      <v>9</v>
    </spb>
    <spb s="21">
      <v>1</v>
      <v>1</v>
      <v>2</v>
      <v>3</v>
      <v>2</v>
      <v>2</v>
      <v>4</v>
      <v>2</v>
      <v>2</v>
      <v>5</v>
      <v>4</v>
      <v>6</v>
      <v>2</v>
      <v>2</v>
      <v>7</v>
      <v>4</v>
      <v>8</v>
      <v>4</v>
      <v>2</v>
    </spb>
    <spb s="26">
      <v>8</v>
    </spb>
  </spbData>
</supportingPropertyBags>
</file>

<file path=xl/richData/rdsupportingpropertybagstructure.xml><?xml version="1.0" encoding="utf-8"?>
<spbStructures xmlns="http://schemas.microsoft.com/office/spreadsheetml/2017/richdata2" count="27">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Order" t="spba"/>
    <k n="TitleProperty" t="s"/>
    <k n="SubTitleProperty" t="s"/>
  </s>
  <s>
    <k n="ShowInCardView" t="b"/>
    <k n="ShowInDotNotation" t="b"/>
    <k n="ShowInAutoComplete" t="b"/>
  </s>
  <s>
    <k n="ExchangeID" t="spb"/>
    <k n="UniqueName" t="spb"/>
    <k n="`%ProviderInfo" t="spb"/>
    <k n="LearnMoreOnLink" t="spb"/>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Preis" t="s"/>
    <k n="`Änderung" t="s"/>
    <k n="ExchangeID" t="s"/>
    <k n="`Änderung (%)" t="s"/>
    <k n="Letzte Handelszeit" t="s"/>
  </s>
  <s>
    <k n="Preis" t="s"/>
    <k n="`Änderung" t="s"/>
    <k n="`Änderung (%)" t="s"/>
    <k n="Letzte Handelszeit" t="s"/>
  </s>
  <s>
    <k n="KGV" t="s"/>
    <k n="Beta" t="s"/>
    <k n="Bild"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ShowInDotNotation" t="b"/>
    <k n="ShowInAutoComplete" t="b"/>
  </s>
  <s>
    <k n="Bild" t="spb"/>
    <k n="ExchangeID" t="spb"/>
    <k n="UniqueName" t="spb"/>
    <k n="`%ProviderInfo" t="spb"/>
    <k n="LearnMoreOnLink" t="spb"/>
  </s>
  <s>
    <k n="KGV" t="i"/>
    <k n="Beta" t="i"/>
    <k n="Bild"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name" t="s"/>
  </s>
  <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Offizieller Name" t="s"/>
    <k n="Ausstehende Aktien" t="s"/>
    <k n="Exchange-Abkürzung" t="s"/>
    <k n="Letzte Handelszeit" t="s"/>
    <k n="Volumendurchschnitt" t="s"/>
    <k n="Schlusskurs des Vortags" t="s"/>
    <k n="Unternehmensgründungsjahr" t="s"/>
  </s>
  <s>
    <k n="^Order" t="spba"/>
    <k n="TitleProperty" t="s"/>
  </s>
  <s>
    <k n="ExchangeID" t="spb"/>
    <k n="UniqueName" t="spb"/>
    <k n="`%ProviderInfo" t="spb"/>
  </s>
  <s>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Preis (nachbörslich)" t="s"/>
    <k n="Schlusskurs des Vortags" t="s"/>
    <k n="Unternehmensgründungsjahr" t="s"/>
    <k n="Veränderung (nachbörslich)" t="s"/>
    <k n="Veränderung % (nachbörslich)" t="s"/>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Preis (nachbörslich)" t="i"/>
    <k n="Schlusskurs des Vortags" t="i"/>
    <k n="Unternehmensgründungsjahr" t="i"/>
    <k n="Veränderung (nachbörslich)" t="i"/>
    <k n="Veränderung % (nachbörslich)" t="i"/>
  </s>
  <s>
    <k n="Preis" t="s"/>
    <k n="`Änderung" t="s"/>
    <k n="`Änderung (%)" t="s"/>
    <k n="Letzte Handelszeit" t="s"/>
    <k n="Preis (nachbörslich)" t="s"/>
    <k n="Veränderung (nachbörslich)" t="s"/>
    <k n="Veränderung % (nachbörslich)"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s>
  <s>
    <k n="KGV" t="s"/>
    <k n="Beta" t="s"/>
    <k n="Name" t="s"/>
    <k n="Preis" t="s"/>
    <k n="Öffnen"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KGV" t="i"/>
    <k n="Beta" t="i"/>
    <k n="Name" t="i"/>
    <k n="Preis"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Ticker-Symbol" t="s"/>
    <k n="52-Wochen-Hoch" t="s"/>
    <k n="52-Wochen-Tief" t="s"/>
    <k n="Instrumententyp" t="s"/>
    <k n="Offizieller Name" t="s"/>
    <k n="Ausstehende Aktien" t="s"/>
    <k n="Exchange-Abkürzung" t="s"/>
    <k n="Letzte Handelszeit" t="s"/>
    <k n="Volumendurchschnitt" t="s"/>
    <k n="Schlusskurs des Vortags" t="s"/>
    <k n="Unternehmensgründungsjahr" t="s"/>
  </s>
  <s>
    <k n="KGV" t="i"/>
    <k n="Beta" t="i"/>
    <k n="Hoch" t="i"/>
    <k n="Name" t="i"/>
    <k n="Preis" t="i"/>
    <k n="Niedrig" t="i"/>
    <k n="Volumen" t="i"/>
    <k n="`Öffnen" t="i"/>
    <k n="`Änderung" t="i"/>
    <k n="Börsenwert" t="i"/>
    <k n="`Änderung (%)" t="i"/>
    <k n="52-Wochen-Hoch" t="i"/>
    <k n="52-Wochen-Tief" t="i"/>
    <k n="`%EntityServiceId" t="i"/>
    <k n="Ausstehende Aktien" t="i"/>
    <k n="Letzte Handelszeit" t="i"/>
    <k n="Volumendurchschnitt" t="i"/>
    <k n="Schlusskurs des Vortags" t="i"/>
    <k n="Unternehmensgründungsjahr" t="i"/>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5">
      <rpv i="0">#,##0.00</rpv>
    </rSty>
    <rSty dxfid="1">
      <rpv i="0">_([$$-en-US]* #,##0.00_);_([$$-en-US]* (#,##0.00);_([$$-en-US]* "-"??_);_(@_)</rpv>
    </rSty>
    <rSty>
      <rpv i="1">1</rpv>
    </rSty>
    <rSty dxfid="4">
      <rpv i="0">#,##0</rpv>
    </rSty>
    <rSty dxfid="1">
      <rpv i="0">_([$$-en-US]* #,##0_);_([$$-en-US]* (#,##0);_([$$-en-US]* "-"_);_(@_)</rpv>
    </rSty>
    <rSty dxfid="3"/>
    <rSty dxfid="0">
      <rpv i="0">0.00</rpv>
    </rSty>
    <rSty dxfid="2"/>
    <rSty dxfid="6">
      <rpv i="0">0</rpv>
    </rSty>
    <rSty dxfid="1">
      <rpv i="0">_([$€-x-euro2] * #,##0.00_);_([$€-x-euro2] * (#,##0.00);_([$€-x-euro2] * "-"??_);_(@_)</rpv>
    </rSty>
    <rSty dxfid="1">
      <rpv i="0">_([$€-x-euro2] * #,##0_);_([$€-x-euro2] * (#,##0);_([$€-x-euro2] * "-"_);_(@_)</rpv>
    </rSty>
    <rSty>
      <rpv i="2">1</rpv>
    </rSty>
    <rSty dxfid="1">
      <rpv i="0">_-[$$-es-MX]* #,##0.00_-;-[$$-es-MX]* #,##0.00_-;_-[$$-es-MX]* "-"??_-;_-@_-</rpv>
    </rSty>
    <rSty dxfid="1">
      <rpv i="0">_-* #,##0.00 [$CHF-fr-CH]_-;-* #,##0.00 [$CHF-fr-CH]_-;_-* "-"?? [$CHF-fr-CH]_-;_-@_-</rpv>
    </rSty>
    <rSty dxfid="1">
      <rpv i="0">_-* #,##0 [$CHF-fr-CH]_-;-* #,##0 [$CHF-fr-CH]_-;_-* "-" [$CHF-fr-CH]_-;_-@_-</rpv>
    </rSty>
    <rSty dxfid="1">
      <rpv i="0">_-[$$-en-CA]* #,##0_-;-[$$-en-CA]* #,##0_-;_-[$$-en-CA]* "-"_-;_-@_-</rpv>
    </rSty>
    <rSty dxfid="1">
      <rpv i="0">_-* #,##0 [$kr-fo-FO]_-;-* #,##0 [$kr-fo-FO]_-;_-* "-" [$kr-fo-FO]_-;_-@_-</rpv>
    </rSty>
    <rSty dxfid="7">
      <rpv i="0">_(* #,##0.00_);_(* (#,##0.00);_(* "-"??_);_(@_)</rpv>
    </rSty>
    <rSty dxfid="1">
      <rpv i="0">_-[$£-en-GB]* #,##0_-;-[$£-en-GB]* #,##0_-;_-[$£-en-GB]* "-"_-;_-@_-</rpv>
    </rSty>
    <rSty dxfid="1">
      <rpv i="0">_-[$$-en-AU]* #,##0.00_-;-[$$-en-AU]* #,##0.00_-;_-[$$-en-AU]* "-"??_-;_-@_-</rpv>
    </rSty>
    <rSty dxfid="1">
      <rpv i="0">_-[$$-en-AU]* #,##0_-;-[$$-en-AU]* #,##0_-;_-[$$-en-AU]* "-"_-;_-@_-</rpv>
    </rSty>
    <rSty dxfid="1">
      <rpv i="0">_-[$¥-ja-JP]* #,##0_-;-[$¥-ja-JP]* #,##0_-;_-[$¥-ja-JP]*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BFB7B0-8BC0-42D4-B53E-EF04230775E5}" name="Tabelle1" displayName="Tabelle1" ref="A1:H170" totalsRowShown="0">
  <autoFilter ref="A1:H170" xr:uid="{51BFB7B0-8BC0-42D4-B53E-EF04230775E5}"/>
  <tableColumns count="8">
    <tableColumn id="1" xr3:uid="{891236A2-6194-410A-BE60-F4CB3628D13E}" name="Main Theme"/>
    <tableColumn id="2" xr3:uid="{F31766A2-7577-4607-B04F-5DD5F9EC4F53}" name="Sub Theme"/>
    <tableColumn id="3" xr3:uid="{823C700A-9040-405F-8E97-1746444EAADE}" name="Ticker"/>
    <tableColumn id="4" xr3:uid="{00E39A8A-C417-4D92-9937-98096421E8A1}" name="Preis" dataDxfId="4">
      <calculatedColumnFormula array="1">_FV(C2,"Preis")</calculatedColumnFormula>
    </tableColumn>
    <tableColumn id="5" xr3:uid="{052F078A-5622-4857-9977-7768BB19BEF1}" name="52W High" dataDxfId="3">
      <calculatedColumnFormula array="1">_FV(C2,"52-Wochen-Hoch",TRUE)</calculatedColumnFormula>
    </tableColumn>
    <tableColumn id="6" xr3:uid="{B956F828-4E7A-4946-927A-245893592D51}" name="52W Low" dataDxfId="2">
      <calculatedColumnFormula array="1">_FV(C2,"52-Wochen-Tief",TRUE)</calculatedColumnFormula>
    </tableColumn>
    <tableColumn id="7" xr3:uid="{207F0311-4B3E-4ECA-A77A-563C2A597E89}" name="Trend Score" dataDxfId="1">
      <calculatedColumnFormula>(D2-F2)/(E2-F2)</calculatedColumnFormula>
    </tableColumn>
    <tableColumn id="8" xr3:uid="{B79ABCB5-ABC9-4068-93A6-E91D03C4D231}" name="Momentum" dataDxfId="0">
      <calculatedColumnFormula>IFERROR((D2-((E2+F2)/2))/((E2-F2)/2),"")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9FD81-8F72-4C93-952C-C58EC5382763}">
  <dimension ref="A1:H170"/>
  <sheetViews>
    <sheetView tabSelected="1" workbookViewId="0">
      <selection sqref="A1:H170"/>
    </sheetView>
  </sheetViews>
  <sheetFormatPr baseColWidth="10" defaultRowHeight="15" x14ac:dyDescent="0.25"/>
  <cols>
    <col min="1" max="2" width="20.7109375" customWidth="1"/>
    <col min="3" max="3" width="65.7109375" customWidth="1"/>
    <col min="4" max="7" width="20.7109375" customWidth="1"/>
    <col min="8" max="8" width="20.7109375" style="4" customWidth="1"/>
  </cols>
  <sheetData>
    <row r="1" spans="1:8" x14ac:dyDescent="0.25">
      <c r="A1" t="s">
        <v>0</v>
      </c>
      <c r="B1" t="s">
        <v>1</v>
      </c>
      <c r="C1" t="s">
        <v>2</v>
      </c>
      <c r="D1" t="s">
        <v>33</v>
      </c>
      <c r="E1" t="s">
        <v>34</v>
      </c>
      <c r="F1" t="s">
        <v>35</v>
      </c>
      <c r="G1" t="s">
        <v>36</v>
      </c>
      <c r="H1" s="4" t="s">
        <v>41</v>
      </c>
    </row>
    <row r="2" spans="1:8" x14ac:dyDescent="0.25">
      <c r="A2" t="s">
        <v>3</v>
      </c>
      <c r="B2" t="s">
        <v>4</v>
      </c>
      <c r="C2" t="e" vm="1">
        <v>#VALUE!</v>
      </c>
      <c r="D2" s="1" cm="1">
        <f t="array" aca="1" ref="D2" ca="1">_FV(C2,"Preis")</f>
        <v>322.58999999999997</v>
      </c>
      <c r="E2" s="1" cm="1">
        <f t="array" aca="1" ref="E2" ca="1">_FV(C2,"52-Wochen-Hoch",TRUE)</f>
        <v>332</v>
      </c>
      <c r="F2" s="1" cm="1">
        <f t="array" aca="1" ref="F2" ca="1">_FV(C2,"52-Wochen-Tief",TRUE)</f>
        <v>50.81</v>
      </c>
      <c r="G2" s="4">
        <f ca="1">(D2-F2)/(E2-F2)</f>
        <v>0.96653508303993729</v>
      </c>
      <c r="H2" s="4">
        <f ca="1">IFERROR((D2-((E2+F2)/2))/((E2-F2)/2),"")</f>
        <v>0.93307016607987459</v>
      </c>
    </row>
    <row r="3" spans="1:8" x14ac:dyDescent="0.25">
      <c r="A3" t="s">
        <v>3</v>
      </c>
      <c r="B3" t="s">
        <v>4</v>
      </c>
      <c r="C3" t="e" vm="2">
        <v>#VALUE!</v>
      </c>
      <c r="D3" s="1" cm="1">
        <f t="array" aca="1" ref="D3" ca="1">_FV(C3,"Preis")</f>
        <v>887.86</v>
      </c>
      <c r="E3" s="1" cm="1">
        <f t="array" aca="1" ref="E3" ca="1">_FV(C3,"52-Wochen-Hoch",TRUE)</f>
        <v>960</v>
      </c>
      <c r="F3" s="1" cm="1">
        <f t="array" aca="1" ref="F3" ca="1">_FV(C3,"52-Wochen-Tief",TRUE)</f>
        <v>49.13</v>
      </c>
      <c r="G3" s="4">
        <f t="shared" ref="G3:G66" ca="1" si="0">(D3-F3)/(E3-F3)</f>
        <v>0.92080099245776015</v>
      </c>
      <c r="H3" s="4">
        <f t="shared" ref="H3:H66" ca="1" si="1">IFERROR((D3-((E3+F3)/2))/((E3-F3)/2),"")</f>
        <v>0.84160198491552041</v>
      </c>
    </row>
    <row r="4" spans="1:8" x14ac:dyDescent="0.25">
      <c r="A4" t="s">
        <v>3</v>
      </c>
      <c r="B4" t="s">
        <v>4</v>
      </c>
      <c r="C4" t="e" vm="3">
        <v>#VALUE!</v>
      </c>
      <c r="D4" s="1" cm="1">
        <f t="array" aca="1" ref="D4" ca="1">_FV(C4,"Preis")</f>
        <v>152.25</v>
      </c>
      <c r="E4" s="1" cm="1">
        <f t="array" aca="1" ref="E4" ca="1">_FV(C4,"52-Wochen-Hoch",TRUE)</f>
        <v>155.4</v>
      </c>
      <c r="F4" s="1" cm="1">
        <f t="array" aca="1" ref="F4" ca="1">_FV(C4,"52-Wochen-Tief",TRUE)</f>
        <v>9.7110000000000003</v>
      </c>
      <c r="G4" s="4">
        <f t="shared" ca="1" si="0"/>
        <v>0.97837860099252516</v>
      </c>
      <c r="H4" s="4">
        <f t="shared" ca="1" si="1"/>
        <v>0.95675720198505032</v>
      </c>
    </row>
    <row r="5" spans="1:8" x14ac:dyDescent="0.25">
      <c r="A5" t="s">
        <v>3</v>
      </c>
      <c r="B5" t="s">
        <v>4</v>
      </c>
      <c r="C5" t="e" vm="4">
        <v>#VALUE!</v>
      </c>
      <c r="D5" s="1" cm="1">
        <f t="array" aca="1" ref="D5" ca="1">_FV(C5,"Preis")</f>
        <v>7.1449999999999996</v>
      </c>
      <c r="E5" s="1" cm="1">
        <f t="array" aca="1" ref="E5" ca="1">_FV(C5,"52-Wochen-Hoch",TRUE)</f>
        <v>9.41</v>
      </c>
      <c r="F5" s="1" cm="1">
        <f t="array" aca="1" ref="F5" ca="1">_FV(C5,"52-Wochen-Tief",TRUE)</f>
        <v>3.58</v>
      </c>
      <c r="G5" s="4">
        <f t="shared" ca="1" si="0"/>
        <v>0.611492281303602</v>
      </c>
      <c r="H5" s="4">
        <f t="shared" ca="1" si="1"/>
        <v>0.22298456260720392</v>
      </c>
    </row>
    <row r="6" spans="1:8" x14ac:dyDescent="0.25">
      <c r="A6" t="s">
        <v>3</v>
      </c>
      <c r="B6" t="s">
        <v>4</v>
      </c>
      <c r="C6" t="e" vm="5">
        <v>#VALUE!</v>
      </c>
      <c r="D6" s="1" cm="1">
        <f t="array" aca="1" ref="D6" ca="1">_FV(C6,"Preis")</f>
        <v>76.78</v>
      </c>
      <c r="E6" s="1" cm="1">
        <f t="array" aca="1" ref="E6" ca="1">_FV(C6,"52-Wochen-Hoch",TRUE)</f>
        <v>77.69</v>
      </c>
      <c r="F6" s="1" cm="1">
        <f t="array" aca="1" ref="F6" ca="1">_FV(C6,"52-Wochen-Tief",TRUE)</f>
        <v>1.1399999999999999</v>
      </c>
      <c r="G6" s="4">
        <f t="shared" ca="1" si="0"/>
        <v>0.98811234487263233</v>
      </c>
      <c r="H6" s="4">
        <f t="shared" ca="1" si="1"/>
        <v>0.97622468974526466</v>
      </c>
    </row>
    <row r="7" spans="1:8" x14ac:dyDescent="0.25">
      <c r="A7" t="s">
        <v>3</v>
      </c>
      <c r="B7" t="s">
        <v>4</v>
      </c>
      <c r="C7" t="e" vm="6">
        <v>#VALUE!</v>
      </c>
      <c r="D7" s="1" cm="1">
        <f t="array" aca="1" ref="D7" ca="1">_FV(C7,"Preis")</f>
        <v>212.89</v>
      </c>
      <c r="E7" s="1" cm="1">
        <f t="array" aca="1" ref="E7" ca="1">_FV(C7,"52-Wochen-Hoch",TRUE)</f>
        <v>219.46</v>
      </c>
      <c r="F7" s="1" cm="1">
        <f t="array" aca="1" ref="F7" ca="1">_FV(C7,"52-Wochen-Tief",TRUE)</f>
        <v>33.42</v>
      </c>
      <c r="G7" s="4">
        <f t="shared" ca="1" si="0"/>
        <v>0.96468501397548889</v>
      </c>
      <c r="H7" s="4">
        <f t="shared" ca="1" si="1"/>
        <v>0.92937002795097801</v>
      </c>
    </row>
    <row r="8" spans="1:8" x14ac:dyDescent="0.25">
      <c r="A8" t="s">
        <v>3</v>
      </c>
      <c r="B8" t="s">
        <v>4</v>
      </c>
      <c r="C8" t="e" vm="7">
        <v>#VALUE!</v>
      </c>
      <c r="D8" s="3" cm="1">
        <f t="array" aca="1" ref="D8" ca="1">_FV(C8,"Preis")</f>
        <v>63.95</v>
      </c>
      <c r="E8" s="3" cm="1">
        <f t="array" aca="1" ref="E8" ca="1">_FV(C8,"52-Wochen-Hoch",TRUE)</f>
        <v>65.3</v>
      </c>
      <c r="F8" s="3" cm="1">
        <f t="array" aca="1" ref="F8" ca="1">_FV(C8,"52-Wochen-Tief",TRUE)</f>
        <v>24</v>
      </c>
      <c r="G8" s="4">
        <f t="shared" ca="1" si="0"/>
        <v>0.96731234866828097</v>
      </c>
      <c r="H8" s="4">
        <f t="shared" ca="1" si="1"/>
        <v>0.93462469733656206</v>
      </c>
    </row>
    <row r="9" spans="1:8" x14ac:dyDescent="0.25">
      <c r="A9" t="s">
        <v>3</v>
      </c>
      <c r="B9" t="s">
        <v>4</v>
      </c>
      <c r="C9" t="e" vm="8">
        <v>#VALUE!</v>
      </c>
      <c r="D9" s="1" cm="1">
        <f t="array" aca="1" ref="D9" ca="1">_FV(C9,"Preis")</f>
        <v>134.47499999999999</v>
      </c>
      <c r="E9" s="1" cm="1">
        <f t="array" aca="1" ref="E9" ca="1">_FV(C9,"52-Wochen-Hoch",TRUE)</f>
        <v>138.19</v>
      </c>
      <c r="F9" s="1" cm="1">
        <f t="array" aca="1" ref="F9" ca="1">_FV(C9,"52-Wochen-Tief",TRUE)</f>
        <v>48.09</v>
      </c>
      <c r="G9" s="4">
        <f t="shared" ca="1" si="0"/>
        <v>0.95876803551609324</v>
      </c>
      <c r="H9" s="4">
        <f t="shared" ca="1" si="1"/>
        <v>0.91753607103218637</v>
      </c>
    </row>
    <row r="10" spans="1:8" x14ac:dyDescent="0.25">
      <c r="A10" t="s">
        <v>3</v>
      </c>
      <c r="B10" t="s">
        <v>5</v>
      </c>
      <c r="C10" t="e" vm="9">
        <v>#VALUE!</v>
      </c>
      <c r="D10" s="1" cm="1">
        <f t="array" aca="1" ref="D10" ca="1">_FV(C10,"Preis")</f>
        <v>198.65</v>
      </c>
      <c r="E10" s="1" cm="1">
        <f t="array" aca="1" ref="E10" ca="1">_FV(C10,"52-Wochen-Hoch",TRUE)</f>
        <v>212.18989999999999</v>
      </c>
      <c r="F10" s="1" cm="1">
        <f t="array" aca="1" ref="F10" ca="1">_FV(C10,"52-Wochen-Tief",TRUE)</f>
        <v>95.04</v>
      </c>
      <c r="G10" s="4">
        <f t="shared" ca="1" si="0"/>
        <v>0.88442243655350972</v>
      </c>
      <c r="H10" s="4">
        <f t="shared" ca="1" si="1"/>
        <v>0.76884487310701954</v>
      </c>
    </row>
    <row r="11" spans="1:8" x14ac:dyDescent="0.25">
      <c r="A11" t="s">
        <v>3</v>
      </c>
      <c r="B11" t="s">
        <v>5</v>
      </c>
      <c r="C11" t="e" vm="10">
        <v>#VALUE!</v>
      </c>
      <c r="D11" s="1" cm="1">
        <f t="array" aca="1" ref="D11" ca="1">_FV(C11,"Preis")</f>
        <v>275.91000000000003</v>
      </c>
      <c r="E11" s="1" cm="1">
        <f t="array" aca="1" ref="E11" ca="1">_FV(C11,"52-Wochen-Hoch",TRUE)</f>
        <v>279.33999999999997</v>
      </c>
      <c r="F11" s="1" cm="1">
        <f t="array" aca="1" ref="F11" ca="1">_FV(C11,"52-Wochen-Tief",TRUE)</f>
        <v>83.75</v>
      </c>
      <c r="G11" s="4">
        <f t="shared" ca="1" si="0"/>
        <v>0.98246331612045634</v>
      </c>
      <c r="H11" s="4">
        <f t="shared" ca="1" si="1"/>
        <v>0.96492663224091257</v>
      </c>
    </row>
    <row r="12" spans="1:8" x14ac:dyDescent="0.25">
      <c r="A12" t="s">
        <v>3</v>
      </c>
      <c r="B12" t="s">
        <v>5</v>
      </c>
      <c r="C12" t="e" vm="11">
        <v>#VALUE!</v>
      </c>
      <c r="D12" s="1" cm="1">
        <f t="array" aca="1" ref="D12" ca="1">_FV(C12,"Preis")</f>
        <v>398.44499999999999</v>
      </c>
      <c r="E12" s="1" cm="1">
        <f t="array" aca="1" ref="E12" ca="1">_FV(C12,"52-Wochen-Hoch",TRUE)</f>
        <v>414.61</v>
      </c>
      <c r="F12" s="1" cm="1">
        <f t="array" aca="1" ref="F12" ca="1">_FV(C12,"52-Wochen-Tief",TRUE)</f>
        <v>161.61000000000001</v>
      </c>
      <c r="G12" s="4">
        <f t="shared" ca="1" si="0"/>
        <v>0.93610671936758882</v>
      </c>
      <c r="H12" s="4">
        <f t="shared" ca="1" si="1"/>
        <v>0.87221343873517765</v>
      </c>
    </row>
    <row r="13" spans="1:8" x14ac:dyDescent="0.25">
      <c r="A13" t="s">
        <v>3</v>
      </c>
      <c r="B13" t="s">
        <v>5</v>
      </c>
      <c r="C13" t="e" vm="12">
        <v>#VALUE!</v>
      </c>
      <c r="D13" s="1" cm="1">
        <f t="array" aca="1" ref="D13" ca="1">_FV(C13,"Preis")</f>
        <v>67.680000000000007</v>
      </c>
      <c r="E13" s="1" cm="1">
        <f t="array" aca="1" ref="E13" ca="1">_FV(C13,"52-Wochen-Hoch",TRUE)</f>
        <v>68.23</v>
      </c>
      <c r="F13" s="1" cm="1">
        <f t="array" aca="1" ref="F13" ca="1">_FV(C13,"52-Wochen-Tief",TRUE)</f>
        <v>18.25</v>
      </c>
      <c r="G13" s="4">
        <f t="shared" ca="1" si="0"/>
        <v>0.98899559823929573</v>
      </c>
      <c r="H13" s="4">
        <f t="shared" ca="1" si="1"/>
        <v>0.97799119647859156</v>
      </c>
    </row>
    <row r="14" spans="1:8" x14ac:dyDescent="0.25">
      <c r="A14" t="s">
        <v>3</v>
      </c>
      <c r="B14" t="s">
        <v>5</v>
      </c>
      <c r="C14" t="e" vm="13">
        <v>#VALUE!</v>
      </c>
      <c r="D14" s="1" cm="1">
        <f t="array" aca="1" ref="D14" ca="1">_FV(C14,"Preis")</f>
        <v>363.56</v>
      </c>
      <c r="E14" s="1" cm="1">
        <f t="array" aca="1" ref="E14" ca="1">_FV(C14,"52-Wochen-Hoch",TRUE)</f>
        <v>390.20499999999998</v>
      </c>
      <c r="F14" s="1" cm="1">
        <f t="array" aca="1" ref="F14" ca="1">_FV(C14,"52-Wochen-Tief",TRUE)</f>
        <v>145.84</v>
      </c>
      <c r="G14" s="4">
        <f t="shared" ca="1" si="0"/>
        <v>0.89096229001698291</v>
      </c>
      <c r="H14" s="4">
        <f t="shared" ca="1" si="1"/>
        <v>0.78192458003396581</v>
      </c>
    </row>
    <row r="15" spans="1:8" x14ac:dyDescent="0.25">
      <c r="A15" t="s">
        <v>3</v>
      </c>
      <c r="B15" t="s">
        <v>5</v>
      </c>
      <c r="C15" t="e" vm="14">
        <v>#VALUE!</v>
      </c>
      <c r="D15" s="1" cm="1">
        <f t="array" aca="1" ref="D15" ca="1">_FV(C15,"Preis")</f>
        <v>134.68</v>
      </c>
      <c r="E15" s="1" cm="1">
        <f t="array" aca="1" ref="E15" ca="1">_FV(C15,"52-Wochen-Hoch",TRUE)</f>
        <v>205.95</v>
      </c>
      <c r="F15" s="1" cm="1">
        <f t="array" aca="1" ref="F15" ca="1">_FV(C15,"52-Wochen-Tief",TRUE)</f>
        <v>121.99</v>
      </c>
      <c r="G15" s="4">
        <f t="shared" ca="1" si="0"/>
        <v>0.15114340161981912</v>
      </c>
      <c r="H15" s="4">
        <f t="shared" ca="1" si="1"/>
        <v>-0.69771319676036192</v>
      </c>
    </row>
    <row r="16" spans="1:8" x14ac:dyDescent="0.25">
      <c r="A16" t="s">
        <v>3</v>
      </c>
      <c r="B16" t="s">
        <v>5</v>
      </c>
      <c r="C16" t="e" vm="15">
        <v>#VALUE!</v>
      </c>
      <c r="D16" s="1" cm="1">
        <f t="array" aca="1" ref="D16" ca="1">_FV(C16,"Preis")</f>
        <v>458.26609999999999</v>
      </c>
      <c r="E16" s="1" cm="1">
        <f t="array" aca="1" ref="E16" ca="1">_FV(C16,"52-Wochen-Hoch",TRUE)</f>
        <v>471.34</v>
      </c>
      <c r="F16" s="1" cm="1">
        <f t="array" aca="1" ref="F16" ca="1">_FV(C16,"52-Wochen-Tief",TRUE)</f>
        <v>65.644999999999996</v>
      </c>
      <c r="G16" s="4">
        <f t="shared" ca="1" si="0"/>
        <v>0.96777406672500277</v>
      </c>
      <c r="H16" s="4">
        <f t="shared" ca="1" si="1"/>
        <v>0.93554813345000554</v>
      </c>
    </row>
    <row r="17" spans="1:8" x14ac:dyDescent="0.25">
      <c r="A17" t="s">
        <v>3</v>
      </c>
      <c r="B17" t="s">
        <v>6</v>
      </c>
      <c r="C17" t="e" vm="16">
        <v>#VALUE!</v>
      </c>
      <c r="D17" s="1" cm="1">
        <f t="array" aca="1" ref="D17" ca="1">_FV(C17,"Preis")</f>
        <v>249.37</v>
      </c>
      <c r="E17" s="1" cm="1">
        <f t="array" aca="1" ref="E17" ca="1">_FV(C17,"52-Wochen-Hoch",TRUE)</f>
        <v>258.60000000000002</v>
      </c>
      <c r="F17" s="1" cm="1">
        <f t="array" aca="1" ref="F17" ca="1">_FV(C17,"52-Wochen-Tief",TRUE)</f>
        <v>165.285</v>
      </c>
      <c r="G17" s="4">
        <f t="shared" ca="1" si="0"/>
        <v>0.90108771365803986</v>
      </c>
      <c r="H17" s="4">
        <f t="shared" ca="1" si="1"/>
        <v>0.80217542731607994</v>
      </c>
    </row>
    <row r="18" spans="1:8" x14ac:dyDescent="0.25">
      <c r="A18" t="s">
        <v>3</v>
      </c>
      <c r="B18" t="s">
        <v>6</v>
      </c>
      <c r="C18" t="e" vm="17">
        <v>#VALUE!</v>
      </c>
      <c r="D18" s="1" cm="1">
        <f t="array" aca="1" ref="D18" ca="1">_FV(C18,"Preis")</f>
        <v>419.86</v>
      </c>
      <c r="E18" s="1" cm="1">
        <f t="array" aca="1" ref="E18" ca="1">_FV(C18,"52-Wochen-Hoch",TRUE)</f>
        <v>555.45000000000005</v>
      </c>
      <c r="F18" s="1" cm="1">
        <f t="array" aca="1" ref="F18" ca="1">_FV(C18,"52-Wochen-Tief",TRUE)</f>
        <v>355.67</v>
      </c>
      <c r="G18" s="4">
        <f t="shared" ca="1" si="0"/>
        <v>0.32130343377715481</v>
      </c>
      <c r="H18" s="4">
        <f t="shared" ca="1" si="1"/>
        <v>-0.35739313244569065</v>
      </c>
    </row>
    <row r="19" spans="1:8" x14ac:dyDescent="0.25">
      <c r="A19" t="s">
        <v>3</v>
      </c>
      <c r="B19" t="s">
        <v>6</v>
      </c>
      <c r="C19" t="e" vm="18">
        <v>#VALUE!</v>
      </c>
      <c r="D19" s="1" cm="1">
        <f t="array" aca="1" ref="D19" ca="1">_FV(C19,"Preis")</f>
        <v>336.21</v>
      </c>
      <c r="E19" s="1" cm="1">
        <f t="array" aca="1" ref="E19" ca="1">_FV(C19,"52-Wochen-Hoch",TRUE)</f>
        <v>349</v>
      </c>
      <c r="F19" s="1" cm="1">
        <f t="array" aca="1" ref="F19" ca="1">_FV(C19,"52-Wochen-Tief",TRUE)</f>
        <v>146.1</v>
      </c>
      <c r="G19" s="4">
        <f t="shared" ca="1" si="0"/>
        <v>0.93696402168555926</v>
      </c>
      <c r="H19" s="4">
        <f t="shared" ca="1" si="1"/>
        <v>0.8739280433711184</v>
      </c>
    </row>
    <row r="20" spans="1:8" x14ac:dyDescent="0.25">
      <c r="A20" t="s">
        <v>3</v>
      </c>
      <c r="B20" t="s">
        <v>6</v>
      </c>
      <c r="C20" t="e" vm="19">
        <v>#VALUE!</v>
      </c>
      <c r="D20" s="1" cm="1">
        <f t="array" aca="1" ref="D20" ca="1">_FV(C20,"Preis")</f>
        <v>676.11500000000001</v>
      </c>
      <c r="E20" s="1" cm="1">
        <f t="array" aca="1" ref="E20" ca="1">_FV(C20,"52-Wochen-Hoch",TRUE)</f>
        <v>796.25</v>
      </c>
      <c r="F20" s="1" cm="1">
        <f t="array" aca="1" ref="F20" ca="1">_FV(C20,"52-Wochen-Tief",TRUE)</f>
        <v>479.8</v>
      </c>
      <c r="G20" s="4">
        <f t="shared" ca="1" si="0"/>
        <v>0.62036656659819878</v>
      </c>
      <c r="H20" s="4">
        <f t="shared" ca="1" si="1"/>
        <v>0.24073313319639775</v>
      </c>
    </row>
    <row r="21" spans="1:8" x14ac:dyDescent="0.25">
      <c r="A21" t="s">
        <v>3</v>
      </c>
      <c r="B21" t="s">
        <v>6</v>
      </c>
      <c r="C21" t="e" vm="20">
        <v>#VALUE!</v>
      </c>
      <c r="D21" s="1" cm="1">
        <f t="array" aca="1" ref="D21" ca="1">_FV(C21,"Preis")</f>
        <v>177.78</v>
      </c>
      <c r="E21" s="1" cm="1">
        <f t="array" aca="1" ref="E21" ca="1">_FV(C21,"52-Wochen-Hoch",TRUE)</f>
        <v>345.72</v>
      </c>
      <c r="F21" s="1" cm="1">
        <f t="array" aca="1" ref="F21" ca="1">_FV(C21,"52-Wochen-Tief",TRUE)</f>
        <v>121.235</v>
      </c>
      <c r="G21" s="4">
        <f t="shared" ca="1" si="0"/>
        <v>0.25188765396351648</v>
      </c>
      <c r="H21" s="4">
        <f t="shared" ca="1" si="1"/>
        <v>-0.49622469207296716</v>
      </c>
    </row>
    <row r="22" spans="1:8" x14ac:dyDescent="0.25">
      <c r="A22" t="s">
        <v>3</v>
      </c>
      <c r="B22" t="s">
        <v>6</v>
      </c>
      <c r="C22" t="e" vm="21">
        <v>#VALUE!</v>
      </c>
      <c r="D22" s="1" cm="1">
        <f t="array" aca="1" ref="D22" ca="1">_FV(C22,"Preis")</f>
        <v>250.845</v>
      </c>
      <c r="E22" s="1" cm="1">
        <f t="array" aca="1" ref="E22" ca="1">_FV(C22,"52-Wochen-Hoch",TRUE)</f>
        <v>324.89999999999998</v>
      </c>
      <c r="F22" s="1" cm="1">
        <f t="array" aca="1" ref="F22" ca="1">_FV(C22,"52-Wochen-Tief",TRUE)</f>
        <v>220.72</v>
      </c>
      <c r="G22" s="4">
        <f t="shared" ca="1" si="0"/>
        <v>0.28916298713764643</v>
      </c>
      <c r="H22" s="4">
        <f t="shared" ca="1" si="1"/>
        <v>-0.42167402572470741</v>
      </c>
    </row>
    <row r="23" spans="1:8" x14ac:dyDescent="0.25">
      <c r="A23" t="s">
        <v>3</v>
      </c>
      <c r="B23" t="s">
        <v>6</v>
      </c>
      <c r="C23" t="e" vm="22">
        <v>#VALUE!</v>
      </c>
      <c r="D23" s="1" cm="1">
        <f t="array" aca="1" ref="D23" ca="1">_FV(C23,"Preis")</f>
        <v>163.31</v>
      </c>
      <c r="E23" s="1" cm="1">
        <f t="array" aca="1" ref="E23" ca="1">_FV(C23,"52-Wochen-Hoch",TRUE)</f>
        <v>168.71</v>
      </c>
      <c r="F23" s="1" cm="1">
        <f t="array" aca="1" ref="F23" ca="1">_FV(C23,"52-Wochen-Tief",TRUE)</f>
        <v>20.25</v>
      </c>
      <c r="G23" s="4">
        <f t="shared" ca="1" si="0"/>
        <v>0.96362656607840491</v>
      </c>
      <c r="H23" s="4">
        <f t="shared" ca="1" si="1"/>
        <v>0.92725313215680982</v>
      </c>
    </row>
    <row r="24" spans="1:8" x14ac:dyDescent="0.25">
      <c r="A24" t="s">
        <v>3</v>
      </c>
      <c r="B24" t="s">
        <v>7</v>
      </c>
      <c r="C24" t="e" vm="23">
        <v>#VALUE!</v>
      </c>
      <c r="D24" s="1" cm="1">
        <f t="array" aca="1" ref="D24" ca="1">_FV(C24,"Preis")</f>
        <v>159.07499999999999</v>
      </c>
      <c r="E24" s="1" cm="1">
        <f t="array" aca="1" ref="E24" ca="1">_FV(C24,"52-Wochen-Hoch",TRUE)</f>
        <v>164.94</v>
      </c>
      <c r="F24" s="1" cm="1">
        <f t="array" aca="1" ref="F24" ca="1">_FV(C24,"52-Wochen-Tief",TRUE)</f>
        <v>66.59</v>
      </c>
      <c r="G24" s="4">
        <f t="shared" ca="1" si="0"/>
        <v>0.94036603965429577</v>
      </c>
      <c r="H24" s="4">
        <f t="shared" ca="1" si="1"/>
        <v>0.88073207930859154</v>
      </c>
    </row>
    <row r="25" spans="1:8" x14ac:dyDescent="0.25">
      <c r="A25" t="s">
        <v>3</v>
      </c>
      <c r="B25" t="s">
        <v>7</v>
      </c>
      <c r="C25" t="e" vm="24">
        <v>#VALUE!</v>
      </c>
      <c r="D25" s="1" cm="1">
        <f t="array" aca="1" ref="D25" ca="1">_FV(C25,"Preis")</f>
        <v>83.844999999999999</v>
      </c>
      <c r="E25" s="1" cm="1">
        <f t="array" aca="1" ref="E25" ca="1">_FV(C25,"52-Wochen-Hoch",TRUE)</f>
        <v>88.185000000000002</v>
      </c>
      <c r="F25" s="1" cm="1">
        <f t="array" aca="1" ref="F25" ca="1">_FV(C25,"52-Wochen-Tief",TRUE)</f>
        <v>53.83</v>
      </c>
      <c r="G25" s="4">
        <f t="shared" ca="1" si="0"/>
        <v>0.87367195459176239</v>
      </c>
      <c r="H25" s="4">
        <f t="shared" ca="1" si="1"/>
        <v>0.74734390918352522</v>
      </c>
    </row>
    <row r="26" spans="1:8" x14ac:dyDescent="0.25">
      <c r="A26" t="s">
        <v>3</v>
      </c>
      <c r="B26" t="s">
        <v>7</v>
      </c>
      <c r="C26" t="e" vm="25">
        <v>#VALUE!</v>
      </c>
      <c r="D26" s="1" cm="1">
        <f t="array" aca="1" ref="D26" ca="1">_FV(C26,"Preis")</f>
        <v>716.68</v>
      </c>
      <c r="E26" s="1" cm="1">
        <f t="array" aca="1" ref="E26" ca="1">_FV(C26,"52-Wochen-Hoch",TRUE)</f>
        <v>756.03</v>
      </c>
      <c r="F26" s="1" cm="1">
        <f t="array" aca="1" ref="F26" ca="1">_FV(C26,"52-Wochen-Tief",TRUE)</f>
        <v>702.25</v>
      </c>
      <c r="G26" s="4">
        <f t="shared" ca="1" si="0"/>
        <v>0.26831535886946739</v>
      </c>
      <c r="H26" s="4">
        <f t="shared" ca="1" si="1"/>
        <v>-0.46336928226106516</v>
      </c>
    </row>
    <row r="27" spans="1:8" x14ac:dyDescent="0.25">
      <c r="A27" t="s">
        <v>3</v>
      </c>
      <c r="B27" t="s">
        <v>7</v>
      </c>
      <c r="C27" t="e" vm="26">
        <v>#VALUE!</v>
      </c>
      <c r="D27" s="1" cm="1">
        <f t="array" aca="1" ref="D27" ca="1">_FV(C27,"Preis")</f>
        <v>487.89499999999998</v>
      </c>
      <c r="E27" s="1" cm="1">
        <f t="array" aca="1" ref="E27" ca="1">_FV(C27,"52-Wochen-Hoch",TRUE)</f>
        <v>513.48990000000003</v>
      </c>
      <c r="F27" s="1" cm="1">
        <f t="array" aca="1" ref="F27" ca="1">_FV(C27,"52-Wochen-Tief",TRUE)</f>
        <v>56.94</v>
      </c>
      <c r="G27" s="4">
        <f t="shared" ca="1" si="0"/>
        <v>0.94393843914980591</v>
      </c>
      <c r="H27" s="4">
        <f t="shared" ca="1" si="1"/>
        <v>0.88787687829961159</v>
      </c>
    </row>
    <row r="28" spans="1:8" x14ac:dyDescent="0.25">
      <c r="A28" t="s">
        <v>3</v>
      </c>
      <c r="B28" t="s">
        <v>7</v>
      </c>
      <c r="C28" t="e" vm="27">
        <v>#VALUE!</v>
      </c>
      <c r="D28" s="1" cm="1">
        <f t="array" aca="1" ref="D28" ca="1">_FV(C28,"Preis")</f>
        <v>25.504999999999999</v>
      </c>
      <c r="E28" s="1" cm="1">
        <f t="array" aca="1" ref="E28" ca="1">_FV(C28,"52-Wochen-Hoch",TRUE)</f>
        <v>26.44</v>
      </c>
      <c r="F28" s="1" cm="1">
        <f t="array" aca="1" ref="F28" ca="1">_FV(C28,"52-Wochen-Tief",TRUE)</f>
        <v>14.55</v>
      </c>
      <c r="G28" s="4">
        <f t="shared" ca="1" si="0"/>
        <v>0.92136248948696364</v>
      </c>
      <c r="H28" s="4">
        <f t="shared" ca="1" si="1"/>
        <v>0.84272497897392729</v>
      </c>
    </row>
    <row r="29" spans="1:8" x14ac:dyDescent="0.25">
      <c r="A29" t="s">
        <v>3</v>
      </c>
      <c r="B29" t="s">
        <v>7</v>
      </c>
      <c r="C29" t="e" vm="28">
        <v>#VALUE!</v>
      </c>
      <c r="D29" s="1" cm="1">
        <f t="array" aca="1" ref="D29" ca="1">_FV(C29,"Preis")</f>
        <v>10.234999999999999</v>
      </c>
      <c r="E29" s="1" cm="1">
        <f t="array" aca="1" ref="E29" ca="1">_FV(C29,"52-Wochen-Hoch",TRUE)</f>
        <v>10.56</v>
      </c>
      <c r="F29" s="1" cm="1">
        <f t="array" aca="1" ref="F29" ca="1">_FV(C29,"52-Wochen-Tief",TRUE)</f>
        <v>4</v>
      </c>
      <c r="G29" s="4">
        <f t="shared" ca="1" si="0"/>
        <v>0.9504573170731706</v>
      </c>
      <c r="H29" s="4">
        <f t="shared" ca="1" si="1"/>
        <v>0.9009146341463411</v>
      </c>
    </row>
    <row r="30" spans="1:8" x14ac:dyDescent="0.25">
      <c r="A30" t="s">
        <v>3</v>
      </c>
      <c r="B30" t="s">
        <v>7</v>
      </c>
      <c r="C30" t="e" vm="29">
        <v>#VALUE!</v>
      </c>
      <c r="D30" s="1" cm="1">
        <f t="array" aca="1" ref="D30" ca="1">_FV(C30,"Preis")</f>
        <v>12.055</v>
      </c>
      <c r="E30" s="1" cm="1">
        <f t="array" aca="1" ref="E30" ca="1">_FV(C30,"52-Wochen-Hoch",TRUE)</f>
        <v>12.12</v>
      </c>
      <c r="F30" s="1" cm="1">
        <f t="array" aca="1" ref="F30" ca="1">_FV(C30,"52-Wochen-Tief",TRUE)</f>
        <v>7.1550000000000002</v>
      </c>
      <c r="G30" s="4">
        <f t="shared" ca="1" si="0"/>
        <v>0.98690835850956704</v>
      </c>
      <c r="H30" s="4">
        <f t="shared" ca="1" si="1"/>
        <v>0.9738167170191343</v>
      </c>
    </row>
    <row r="31" spans="1:8" x14ac:dyDescent="0.25">
      <c r="A31" t="s">
        <v>3</v>
      </c>
      <c r="B31" t="s">
        <v>8</v>
      </c>
      <c r="C31" t="e" vm="30">
        <v>#VALUE!</v>
      </c>
      <c r="D31" s="1" cm="1">
        <f t="array" aca="1" ref="D31" ca="1">_FV(C31,"Preis")</f>
        <v>166.64</v>
      </c>
      <c r="E31" s="1" cm="1">
        <f t="array" aca="1" ref="E31" ca="1">_FV(C31,"52-Wochen-Hoch",TRUE)</f>
        <v>223.61</v>
      </c>
      <c r="F31" s="1" cm="1">
        <f t="array" aca="1" ref="F31" ca="1">_FV(C31,"52-Wochen-Tief",TRUE)</f>
        <v>139.57060000000001</v>
      </c>
      <c r="G31" s="4">
        <f t="shared" ca="1" si="0"/>
        <v>0.32210367994059896</v>
      </c>
      <c r="H31" s="4">
        <f t="shared" ca="1" si="1"/>
        <v>-0.35579264011880207</v>
      </c>
    </row>
    <row r="32" spans="1:8" x14ac:dyDescent="0.25">
      <c r="A32" t="s">
        <v>3</v>
      </c>
      <c r="B32" t="s">
        <v>8</v>
      </c>
      <c r="C32" t="e" vm="31">
        <v>#VALUE!</v>
      </c>
      <c r="D32" s="1" cm="1">
        <f t="array" aca="1" ref="D32" ca="1">_FV(C32,"Preis")</f>
        <v>417.82</v>
      </c>
      <c r="E32" s="1" cm="1">
        <f t="array" aca="1" ref="E32" ca="1">_FV(C32,"52-Wochen-Hoch",TRUE)</f>
        <v>566.9</v>
      </c>
      <c r="F32" s="1" cm="1">
        <f t="array" aca="1" ref="F32" ca="1">_FV(C32,"52-Wochen-Tief",TRUE)</f>
        <v>342.72</v>
      </c>
      <c r="G32" s="4">
        <f t="shared" ca="1" si="0"/>
        <v>0.33499866178963328</v>
      </c>
      <c r="H32" s="4">
        <f t="shared" ca="1" si="1"/>
        <v>-0.3300026764207335</v>
      </c>
    </row>
    <row r="33" spans="1:8" x14ac:dyDescent="0.25">
      <c r="A33" t="s">
        <v>3</v>
      </c>
      <c r="B33" t="s">
        <v>8</v>
      </c>
      <c r="C33" t="e" vm="32">
        <v>#VALUE!</v>
      </c>
      <c r="D33" s="1" cm="1">
        <f t="array" aca="1" ref="D33" ca="1">_FV(C33,"Preis")</f>
        <v>82.07</v>
      </c>
      <c r="E33" s="1" cm="1">
        <f t="array" aca="1" ref="E33" ca="1">_FV(C33,"52-Wochen-Hoch",TRUE)</f>
        <v>109.33</v>
      </c>
      <c r="F33" s="1" cm="1">
        <f t="array" aca="1" ref="F33" ca="1">_FV(C33,"52-Wochen-Tief",TRUE)</f>
        <v>70.12</v>
      </c>
      <c r="G33" s="4">
        <f t="shared" ca="1" si="0"/>
        <v>0.30476919153277199</v>
      </c>
      <c r="H33" s="4">
        <f t="shared" ca="1" si="1"/>
        <v>-0.39046161693445564</v>
      </c>
    </row>
    <row r="34" spans="1:8" x14ac:dyDescent="0.25">
      <c r="A34" t="s">
        <v>3</v>
      </c>
      <c r="B34" t="s">
        <v>8</v>
      </c>
      <c r="C34" t="e" vm="33">
        <v>#VALUE!</v>
      </c>
      <c r="D34" s="1" cm="1">
        <f t="array" aca="1" ref="D34" ca="1">_FV(C34,"Preis")</f>
        <v>134.405</v>
      </c>
      <c r="E34" s="1" cm="1">
        <f t="array" aca="1" ref="E34" ca="1">_FV(C34,"52-Wochen-Hoch",TRUE)</f>
        <v>336.99</v>
      </c>
      <c r="F34" s="1" cm="1">
        <f t="array" aca="1" ref="F34" ca="1">_FV(C34,"52-Wochen-Tief",TRUE)</f>
        <v>114.625</v>
      </c>
      <c r="G34" s="4">
        <f t="shared" ca="1" si="0"/>
        <v>8.8952847795291529E-2</v>
      </c>
      <c r="H34" s="4">
        <f t="shared" ca="1" si="1"/>
        <v>-0.822094304409417</v>
      </c>
    </row>
    <row r="35" spans="1:8" x14ac:dyDescent="0.25">
      <c r="A35" t="s">
        <v>3</v>
      </c>
      <c r="B35" t="s">
        <v>8</v>
      </c>
      <c r="C35" t="e" vm="34">
        <v>#VALUE!</v>
      </c>
      <c r="D35" s="1" cm="1">
        <f t="array" aca="1" ref="D35" ca="1">_FV(C35,"Preis")</f>
        <v>71.849999999999994</v>
      </c>
      <c r="E35" s="1" cm="1">
        <f t="array" aca="1" ref="E35" ca="1">_FV(C35,"52-Wochen-Hoch",TRUE)</f>
        <v>127.56699999999999</v>
      </c>
      <c r="F35" s="1" cm="1">
        <f t="array" aca="1" ref="F35" ca="1">_FV(C35,"52-Wochen-Tief",TRUE)</f>
        <v>62.66</v>
      </c>
      <c r="G35" s="4">
        <f t="shared" ca="1" si="0"/>
        <v>0.14158719398524039</v>
      </c>
      <c r="H35" s="4">
        <f t="shared" ca="1" si="1"/>
        <v>-0.716825612029519</v>
      </c>
    </row>
    <row r="36" spans="1:8" x14ac:dyDescent="0.25">
      <c r="A36" t="s">
        <v>3</v>
      </c>
      <c r="B36" t="s">
        <v>8</v>
      </c>
      <c r="C36" t="e" vm="35">
        <v>#VALUE!</v>
      </c>
      <c r="D36" s="1" cm="1">
        <f t="array" aca="1" ref="D36" ca="1">_FV(C36,"Preis")</f>
        <v>197.71</v>
      </c>
      <c r="E36" s="1" cm="1">
        <f t="array" aca="1" ref="E36" ca="1">_FV(C36,"52-Wochen-Hoch",TRUE)</f>
        <v>260</v>
      </c>
      <c r="F36" s="1" cm="1">
        <f t="array" aca="1" ref="F36" ca="1">_FV(C36,"52-Wochen-Tief",TRUE)</f>
        <v>100.25</v>
      </c>
      <c r="G36" s="4">
        <f t="shared" ca="1" si="0"/>
        <v>0.61007824726134585</v>
      </c>
      <c r="H36" s="4">
        <f t="shared" ca="1" si="1"/>
        <v>0.22015649452269181</v>
      </c>
    </row>
    <row r="37" spans="1:8" x14ac:dyDescent="0.25">
      <c r="A37" t="s">
        <v>10</v>
      </c>
      <c r="B37" t="s">
        <v>9</v>
      </c>
      <c r="C37" t="e" vm="36">
        <v>#VALUE!</v>
      </c>
      <c r="D37" s="1" cm="1">
        <f t="array" aca="1" ref="D37" ca="1">_FV(C37,"Preis")</f>
        <v>90.9</v>
      </c>
      <c r="E37" s="1" cm="1">
        <f t="array" aca="1" ref="E37" ca="1">_FV(C37,"52-Wochen-Hoch",TRUE)</f>
        <v>96.204999999999998</v>
      </c>
      <c r="F37" s="1" cm="1">
        <f t="array" aca="1" ref="F37" ca="1">_FV(C37,"52-Wochen-Tief",TRUE)</f>
        <v>63.64</v>
      </c>
      <c r="G37" s="4">
        <f t="shared" ca="1" si="0"/>
        <v>0.83709504068785523</v>
      </c>
      <c r="H37" s="4">
        <f t="shared" ca="1" si="1"/>
        <v>0.67419008137571057</v>
      </c>
    </row>
    <row r="38" spans="1:8" x14ac:dyDescent="0.25">
      <c r="A38" t="s">
        <v>10</v>
      </c>
      <c r="B38" t="s">
        <v>9</v>
      </c>
      <c r="C38" t="e" vm="37">
        <v>#VALUE!</v>
      </c>
      <c r="D38" s="1" cm="1">
        <f t="array" aca="1" ref="D38" ca="1">_FV(C38,"Preis")</f>
        <v>127.88</v>
      </c>
      <c r="E38" s="1" cm="1">
        <f t="array" aca="1" ref="E38" ca="1">_FV(C38,"52-Wochen-Hoch",TRUE)</f>
        <v>134.49</v>
      </c>
      <c r="F38" s="1" cm="1">
        <f t="array" aca="1" ref="F38" ca="1">_FV(C38,"52-Wochen-Tief",TRUE)</f>
        <v>111.22</v>
      </c>
      <c r="G38" s="4">
        <f t="shared" ca="1" si="0"/>
        <v>0.71594327460249196</v>
      </c>
      <c r="H38" s="4">
        <f t="shared" ca="1" si="1"/>
        <v>0.43188654920498404</v>
      </c>
    </row>
    <row r="39" spans="1:8" x14ac:dyDescent="0.25">
      <c r="A39" t="s">
        <v>10</v>
      </c>
      <c r="B39" t="s">
        <v>9</v>
      </c>
      <c r="C39" t="e" vm="38">
        <v>#VALUE!</v>
      </c>
      <c r="D39" s="1" cm="1">
        <f t="array" aca="1" ref="D39" ca="1">_FV(C39,"Preis")</f>
        <v>94.5</v>
      </c>
      <c r="E39" s="1" cm="1">
        <f t="array" aca="1" ref="E39" ca="1">_FV(C39,"52-Wochen-Hoch",TRUE)</f>
        <v>100.83499999999999</v>
      </c>
      <c r="F39" s="1" cm="1">
        <f t="array" aca="1" ref="F39" ca="1">_FV(C39,"52-Wochen-Tief",TRUE)</f>
        <v>83.09</v>
      </c>
      <c r="G39" s="4">
        <f t="shared" ca="1" si="0"/>
        <v>0.6429980276134124</v>
      </c>
      <c r="H39" s="4">
        <f t="shared" ca="1" si="1"/>
        <v>0.28599605522682398</v>
      </c>
    </row>
    <row r="40" spans="1:8" x14ac:dyDescent="0.25">
      <c r="A40" t="s">
        <v>10</v>
      </c>
      <c r="B40" t="s">
        <v>9</v>
      </c>
      <c r="C40" t="e" vm="39">
        <v>#VALUE!</v>
      </c>
      <c r="D40" s="1" cm="1">
        <f t="array" aca="1" ref="D40" ca="1">_FV(C40,"Preis")</f>
        <v>47.305</v>
      </c>
      <c r="E40" s="1" cm="1">
        <f t="array" aca="1" ref="E40" ca="1">_FV(C40,"52-Wochen-Hoch",TRUE)</f>
        <v>50.65</v>
      </c>
      <c r="F40" s="1" cm="1">
        <f t="array" aca="1" ref="F40" ca="1">_FV(C40,"52-Wochen-Tief",TRUE)</f>
        <v>41.704999999999998</v>
      </c>
      <c r="G40" s="4">
        <f t="shared" ca="1" si="0"/>
        <v>0.62604807154835118</v>
      </c>
      <c r="H40" s="4">
        <f t="shared" ca="1" si="1"/>
        <v>0.25209614309670314</v>
      </c>
    </row>
    <row r="41" spans="1:8" x14ac:dyDescent="0.25">
      <c r="A41" t="s">
        <v>10</v>
      </c>
      <c r="B41" t="s">
        <v>9</v>
      </c>
      <c r="C41" t="e" vm="40">
        <v>#VALUE!</v>
      </c>
      <c r="D41" s="1" cm="1">
        <f t="array" aca="1" ref="D41" ca="1">_FV(C41,"Preis")</f>
        <v>133.625</v>
      </c>
      <c r="E41" s="1" cm="1">
        <f t="array" aca="1" ref="E41" ca="1">_FV(C41,"52-Wochen-Hoch",TRUE)</f>
        <v>137.74</v>
      </c>
      <c r="F41" s="1" cm="1">
        <f t="array" aca="1" ref="F41" ca="1">_FV(C41,"52-Wochen-Tief",TRUE)</f>
        <v>97.46</v>
      </c>
      <c r="G41" s="4">
        <f t="shared" ca="1" si="0"/>
        <v>0.89784011916583895</v>
      </c>
      <c r="H41" s="4">
        <f t="shared" ca="1" si="1"/>
        <v>0.79568023833167822</v>
      </c>
    </row>
    <row r="42" spans="1:8" x14ac:dyDescent="0.25">
      <c r="A42" t="s">
        <v>10</v>
      </c>
      <c r="B42" t="s">
        <v>9</v>
      </c>
      <c r="C42" t="e" vm="41">
        <v>#VALUE!</v>
      </c>
      <c r="D42" s="1" cm="1">
        <f t="array" aca="1" ref="D42" ca="1">_FV(C42,"Preis")</f>
        <v>80.515000000000001</v>
      </c>
      <c r="E42" s="1" cm="1">
        <f t="array" aca="1" ref="E42" ca="1">_FV(C42,"52-Wochen-Hoch",TRUE)</f>
        <v>84.23</v>
      </c>
      <c r="F42" s="1" cm="1">
        <f t="array" aca="1" ref="F42" ca="1">_FV(C42,"52-Wochen-Tief",TRUE)</f>
        <v>65.209999999999994</v>
      </c>
      <c r="G42" s="4">
        <f t="shared" ca="1" si="0"/>
        <v>0.80467928496319652</v>
      </c>
      <c r="H42" s="4">
        <f t="shared" ca="1" si="1"/>
        <v>0.60935856992639315</v>
      </c>
    </row>
    <row r="43" spans="1:8" x14ac:dyDescent="0.25">
      <c r="A43" t="s">
        <v>10</v>
      </c>
      <c r="B43" t="s">
        <v>9</v>
      </c>
      <c r="C43" t="e" vm="42">
        <v>#VALUE!</v>
      </c>
      <c r="D43" s="3" cm="1">
        <f t="array" aca="1" ref="D43" ca="1">_FV(C43,"Preis")</f>
        <v>19.234999999999999</v>
      </c>
      <c r="E43" s="3" cm="1">
        <f t="array" aca="1" ref="E43" ca="1">_FV(C43,"52-Wochen-Hoch",TRUE)</f>
        <v>20.43</v>
      </c>
      <c r="F43" s="3" cm="1">
        <f t="array" aca="1" ref="F43" ca="1">_FV(C43,"52-Wochen-Tief",TRUE)</f>
        <v>7.3</v>
      </c>
      <c r="G43" s="4">
        <f t="shared" ca="1" si="0"/>
        <v>0.90898705255140899</v>
      </c>
      <c r="H43" s="4">
        <f t="shared" ca="1" si="1"/>
        <v>0.81797410510281787</v>
      </c>
    </row>
    <row r="44" spans="1:8" x14ac:dyDescent="0.25">
      <c r="A44" t="s">
        <v>10</v>
      </c>
      <c r="B44" t="s">
        <v>11</v>
      </c>
      <c r="C44" t="e" vm="43">
        <v>#VALUE!</v>
      </c>
      <c r="D44" s="1" cm="1">
        <f t="array" aca="1" ref="D44" ca="1">_FV(C44,"Preis")</f>
        <v>392.32</v>
      </c>
      <c r="E44" s="1" cm="1">
        <f t="array" aca="1" ref="E44" ca="1">_FV(C44,"52-Wochen-Hoch",TRUE)</f>
        <v>408.45</v>
      </c>
      <c r="F44" s="1" cm="1">
        <f t="array" aca="1" ref="F44" ca="1">_FV(C44,"52-Wochen-Tief",TRUE)</f>
        <v>255.1</v>
      </c>
      <c r="G44" s="4">
        <f t="shared" ca="1" si="0"/>
        <v>0.89481578089338121</v>
      </c>
      <c r="H44" s="4">
        <f t="shared" ca="1" si="1"/>
        <v>0.78963156178676253</v>
      </c>
    </row>
    <row r="45" spans="1:8" x14ac:dyDescent="0.25">
      <c r="A45" t="s">
        <v>10</v>
      </c>
      <c r="B45" t="s">
        <v>11</v>
      </c>
      <c r="C45" t="e" vm="44">
        <v>#VALUE!</v>
      </c>
      <c r="D45" s="2" cm="1">
        <f t="array" aca="1" ref="D45" ca="1">_FV(C45,"Preis")</f>
        <v>72.44</v>
      </c>
      <c r="E45" s="2" cm="1">
        <f t="array" aca="1" ref="E45" ca="1">_FV(C45,"52-Wochen-Hoch",TRUE)</f>
        <v>73</v>
      </c>
      <c r="F45" s="2" cm="1">
        <f t="array" aca="1" ref="F45" ca="1">_FV(C45,"52-Wochen-Tief",TRUE)</f>
        <v>40.74</v>
      </c>
      <c r="G45" s="4">
        <f t="shared" ca="1" si="0"/>
        <v>0.98264104153750764</v>
      </c>
      <c r="H45" s="4">
        <f t="shared" ca="1" si="1"/>
        <v>0.96528208307501517</v>
      </c>
    </row>
    <row r="46" spans="1:8" x14ac:dyDescent="0.25">
      <c r="A46" t="s">
        <v>10</v>
      </c>
      <c r="B46" t="s">
        <v>11</v>
      </c>
      <c r="C46" t="e" vm="45">
        <v>#VALUE!</v>
      </c>
      <c r="D46" s="1" cm="1">
        <f t="array" aca="1" ref="D46" ca="1">_FV(C46,"Preis")</f>
        <v>63.76</v>
      </c>
      <c r="E46" s="1" cm="1">
        <f t="array" aca="1" ref="E46" ca="1">_FV(C46,"52-Wochen-Hoch",TRUE)</f>
        <v>67.760000000000005</v>
      </c>
      <c r="F46" s="1" cm="1">
        <f t="array" aca="1" ref="F46" ca="1">_FV(C46,"52-Wochen-Tief",TRUE)</f>
        <v>33.39</v>
      </c>
      <c r="G46" s="4">
        <f t="shared" ca="1" si="0"/>
        <v>0.88361943555426226</v>
      </c>
      <c r="H46" s="4">
        <f t="shared" ca="1" si="1"/>
        <v>0.76723887110852451</v>
      </c>
    </row>
    <row r="47" spans="1:8" x14ac:dyDescent="0.25">
      <c r="A47" t="s">
        <v>10</v>
      </c>
      <c r="B47" t="s">
        <v>11</v>
      </c>
      <c r="C47" t="e" vm="46">
        <v>#VALUE!</v>
      </c>
      <c r="D47" s="3" cm="1">
        <f t="array" aca="1" ref="D47" ca="1">_FV(C47,"Preis")</f>
        <v>239.6</v>
      </c>
      <c r="E47" s="3" cm="1">
        <f t="array" aca="1" ref="E47" ca="1">_FV(C47,"52-Wochen-Hoch",TRUE)</f>
        <v>275.75</v>
      </c>
      <c r="F47" s="3" cm="1">
        <f t="array" aca="1" ref="F47" ca="1">_FV(C47,"52-Wochen-Tief",TRUE)</f>
        <v>180.96</v>
      </c>
      <c r="G47" s="4">
        <f t="shared" ca="1" si="0"/>
        <v>0.61863065724232502</v>
      </c>
      <c r="H47" s="4">
        <f t="shared" ca="1" si="1"/>
        <v>0.23726131448464979</v>
      </c>
    </row>
    <row r="48" spans="1:8" x14ac:dyDescent="0.25">
      <c r="A48" t="s">
        <v>10</v>
      </c>
      <c r="B48" t="s">
        <v>11</v>
      </c>
      <c r="C48" t="e" vm="47">
        <v>#VALUE!</v>
      </c>
      <c r="D48" s="1" cm="1">
        <f t="array" aca="1" ref="D48" ca="1">_FV(C48,"Preis")</f>
        <v>300.77</v>
      </c>
      <c r="E48" s="1" cm="1">
        <f t="array" aca="1" ref="E48" ca="1">_FV(C48,"52-Wochen-Hoch",TRUE)</f>
        <v>348.48</v>
      </c>
      <c r="F48" s="1" cm="1">
        <f t="array" aca="1" ref="F48" ca="1">_FV(C48,"52-Wochen-Tief",TRUE)</f>
        <v>176.02</v>
      </c>
      <c r="G48" s="4">
        <f t="shared" ca="1" si="0"/>
        <v>0.72335614055433128</v>
      </c>
      <c r="H48" s="4">
        <f t="shared" ca="1" si="1"/>
        <v>0.44671228110866262</v>
      </c>
    </row>
    <row r="49" spans="1:8" x14ac:dyDescent="0.25">
      <c r="A49" t="s">
        <v>10</v>
      </c>
      <c r="B49" t="s">
        <v>11</v>
      </c>
      <c r="C49" t="e" vm="48">
        <v>#VALUE!</v>
      </c>
      <c r="D49" s="1" cm="1">
        <f t="array" aca="1" ref="D49" ca="1">_FV(C49,"Preis")</f>
        <v>585.66499999999996</v>
      </c>
      <c r="E49" s="1" cm="1">
        <f t="array" aca="1" ref="E49" ca="1">_FV(C49,"52-Wochen-Hoch",TRUE)</f>
        <v>599</v>
      </c>
      <c r="F49" s="1" cm="1">
        <f t="array" aca="1" ref="F49" ca="1">_FV(C49,"52-Wochen-Tief",TRUE)</f>
        <v>251.04</v>
      </c>
      <c r="G49" s="4">
        <f t="shared" ca="1" si="0"/>
        <v>0.96167662949764332</v>
      </c>
      <c r="H49" s="4">
        <f t="shared" ca="1" si="1"/>
        <v>0.92335325899528664</v>
      </c>
    </row>
    <row r="50" spans="1:8" x14ac:dyDescent="0.25">
      <c r="A50" t="s">
        <v>10</v>
      </c>
      <c r="B50" t="s">
        <v>11</v>
      </c>
      <c r="C50" t="e" vm="49">
        <v>#VALUE!</v>
      </c>
      <c r="D50" s="1" cm="1">
        <f t="array" aca="1" ref="D50" ca="1">_FV(C50,"Preis")</f>
        <v>521.66</v>
      </c>
      <c r="E50" s="1" cm="1">
        <f t="array" aca="1" ref="E50" ca="1">_FV(C50,"52-Wochen-Hoch",TRUE)</f>
        <v>548.97</v>
      </c>
      <c r="F50" s="1" cm="1">
        <f t="array" aca="1" ref="F50" ca="1">_FV(C50,"52-Wochen-Tief",TRUE)</f>
        <v>325.08</v>
      </c>
      <c r="G50" s="4">
        <f t="shared" ca="1" si="0"/>
        <v>0.87802045647416116</v>
      </c>
      <c r="H50" s="4">
        <f t="shared" ca="1" si="1"/>
        <v>0.75604091294832265</v>
      </c>
    </row>
    <row r="51" spans="1:8" x14ac:dyDescent="0.25">
      <c r="A51" t="s">
        <v>10</v>
      </c>
      <c r="B51" t="s">
        <v>12</v>
      </c>
      <c r="C51" t="e" vm="50">
        <v>#VALUE!</v>
      </c>
      <c r="D51" s="1" cm="1">
        <f t="array" aca="1" ref="D51" ca="1">_FV(C51,"Preis")</f>
        <v>120.51</v>
      </c>
      <c r="E51" s="1" cm="1">
        <f t="array" aca="1" ref="E51" ca="1">_FV(C51,"52-Wochen-Hoch",TRUE)</f>
        <v>135.24</v>
      </c>
      <c r="F51" s="1" cm="1">
        <f t="array" aca="1" ref="F51" ca="1">_FV(C51,"52-Wochen-Tief",TRUE)</f>
        <v>38.975000000000001</v>
      </c>
      <c r="G51" s="4">
        <f t="shared" ca="1" si="0"/>
        <v>0.8469848854723937</v>
      </c>
      <c r="H51" s="4">
        <f t="shared" ca="1" si="1"/>
        <v>0.69396977094478784</v>
      </c>
    </row>
    <row r="52" spans="1:8" x14ac:dyDescent="0.25">
      <c r="A52" t="s">
        <v>10</v>
      </c>
      <c r="B52" t="s">
        <v>12</v>
      </c>
      <c r="C52" t="e" vm="51">
        <v>#VALUE!</v>
      </c>
      <c r="D52" s="1" cm="1">
        <f t="array" aca="1" ref="D52" ca="1">_FV(C52,"Preis")</f>
        <v>232.42</v>
      </c>
      <c r="E52" s="1" cm="1">
        <f t="array" aca="1" ref="E52" ca="1">_FV(C52,"52-Wochen-Hoch",TRUE)</f>
        <v>241.82</v>
      </c>
      <c r="F52" s="1" cm="1">
        <f t="array" aca="1" ref="F52" ca="1">_FV(C52,"52-Wochen-Tief",TRUE)</f>
        <v>99.63</v>
      </c>
      <c r="G52" s="4">
        <f t="shared" ca="1" si="0"/>
        <v>0.93389127224136714</v>
      </c>
      <c r="H52" s="4">
        <f t="shared" ca="1" si="1"/>
        <v>0.86778254448273429</v>
      </c>
    </row>
    <row r="53" spans="1:8" x14ac:dyDescent="0.25">
      <c r="A53" t="s">
        <v>10</v>
      </c>
      <c r="B53" t="s">
        <v>12</v>
      </c>
      <c r="C53" t="e" vm="52">
        <v>#VALUE!</v>
      </c>
      <c r="D53" s="1" cm="1">
        <f t="array" aca="1" ref="D53" ca="1">_FV(C53,"Preis")</f>
        <v>11.595000000000001</v>
      </c>
      <c r="E53" s="1" cm="1">
        <f t="array" aca="1" ref="E53" ca="1">_FV(C53,"52-Wochen-Hoch",TRUE)</f>
        <v>57.42</v>
      </c>
      <c r="F53" s="1" cm="1">
        <f t="array" aca="1" ref="F53" ca="1">_FV(C53,"52-Wochen-Tief",TRUE)</f>
        <v>8.85</v>
      </c>
      <c r="G53" s="4">
        <f t="shared" ca="1" si="0"/>
        <v>5.6516368128474388E-2</v>
      </c>
      <c r="H53" s="4">
        <f t="shared" ca="1" si="1"/>
        <v>-0.88696726374305124</v>
      </c>
    </row>
    <row r="54" spans="1:8" x14ac:dyDescent="0.25">
      <c r="A54" t="s">
        <v>10</v>
      </c>
      <c r="B54" t="s">
        <v>12</v>
      </c>
      <c r="C54" t="e" vm="53">
        <v>#VALUE!</v>
      </c>
      <c r="D54" s="1" cm="1">
        <f t="array" aca="1" ref="D54" ca="1">_FV(C54,"Preis")</f>
        <v>15.16</v>
      </c>
      <c r="E54" s="1" cm="1">
        <f t="array" aca="1" ref="E54" ca="1">_FV(C54,"52-Wochen-Hoch",TRUE)</f>
        <v>20.34</v>
      </c>
      <c r="F54" s="1" cm="1">
        <f t="array" aca="1" ref="F54" ca="1">_FV(C54,"52-Wochen-Tief",TRUE)</f>
        <v>4.5800999999999998</v>
      </c>
      <c r="G54" s="4">
        <f t="shared" ca="1" si="0"/>
        <v>0.6713177114067983</v>
      </c>
      <c r="H54" s="4">
        <f t="shared" ca="1" si="1"/>
        <v>0.34263542281359666</v>
      </c>
    </row>
    <row r="55" spans="1:8" x14ac:dyDescent="0.25">
      <c r="A55" t="s">
        <v>10</v>
      </c>
      <c r="B55" t="s">
        <v>12</v>
      </c>
      <c r="C55" t="e" vm="54">
        <v>#VALUE!</v>
      </c>
      <c r="D55" s="1" cm="1">
        <f t="array" aca="1" ref="D55" ca="1">_FV(C55,"Preis")</f>
        <v>12.68</v>
      </c>
      <c r="E55" s="1" cm="1">
        <f t="array" aca="1" ref="E55" ca="1">_FV(C55,"52-Wochen-Hoch",TRUE)</f>
        <v>13.96</v>
      </c>
      <c r="F55" s="1" cm="1">
        <f t="array" aca="1" ref="F55" ca="1">_FV(C55,"52-Wochen-Tief",TRUE)</f>
        <v>4.3899999999999997</v>
      </c>
      <c r="G55" s="4">
        <f t="shared" ca="1" si="0"/>
        <v>0.86624869383490066</v>
      </c>
      <c r="H55" s="4">
        <f t="shared" ca="1" si="1"/>
        <v>0.73249738766980121</v>
      </c>
    </row>
    <row r="56" spans="1:8" x14ac:dyDescent="0.25">
      <c r="A56" t="s">
        <v>10</v>
      </c>
      <c r="B56" t="s">
        <v>12</v>
      </c>
      <c r="C56" t="e" vm="55">
        <v>#VALUE!</v>
      </c>
      <c r="D56" s="1" cm="1">
        <f t="array" aca="1" ref="D56" ca="1">_FV(C56,"Preis")</f>
        <v>3.9805000000000001</v>
      </c>
      <c r="E56" s="1" cm="1">
        <f t="array" aca="1" ref="E56" ca="1">_FV(C56,"52-Wochen-Hoch",TRUE)</f>
        <v>4.43</v>
      </c>
      <c r="F56" s="1" cm="1">
        <f t="array" aca="1" ref="F56" ca="1">_FV(C56,"52-Wochen-Tief",TRUE)</f>
        <v>1.24</v>
      </c>
      <c r="G56" s="4">
        <f t="shared" ca="1" si="0"/>
        <v>0.85909090909090924</v>
      </c>
      <c r="H56" s="4">
        <f t="shared" ca="1" si="1"/>
        <v>0.71818181818181837</v>
      </c>
    </row>
    <row r="57" spans="1:8" x14ac:dyDescent="0.25">
      <c r="A57" t="s">
        <v>10</v>
      </c>
      <c r="B57" t="s">
        <v>12</v>
      </c>
      <c r="C57" t="e" vm="56">
        <v>#VALUE!</v>
      </c>
      <c r="D57" s="1" cm="1">
        <f t="array" aca="1" ref="D57" ca="1">_FV(C57,"Preis")</f>
        <v>201.57499999999999</v>
      </c>
      <c r="E57" s="1" cm="1">
        <f t="array" aca="1" ref="E57" ca="1">_FV(C57,"52-Wochen-Hoch",TRUE)</f>
        <v>464.25</v>
      </c>
      <c r="F57" s="1" cm="1">
        <f t="array" aca="1" ref="F57" ca="1">_FV(C57,"52-Wochen-Tief",TRUE)</f>
        <v>60.52</v>
      </c>
      <c r="G57" s="4">
        <f t="shared" ca="1" si="0"/>
        <v>0.34937953582840009</v>
      </c>
      <c r="H57" s="4">
        <f t="shared" ca="1" si="1"/>
        <v>-0.30124092834319965</v>
      </c>
    </row>
    <row r="58" spans="1:8" x14ac:dyDescent="0.25">
      <c r="A58" t="s">
        <v>10</v>
      </c>
      <c r="B58" t="s">
        <v>12</v>
      </c>
      <c r="C58" t="e" vm="57">
        <v>#VALUE!</v>
      </c>
      <c r="D58" s="1" cm="1">
        <f t="array" aca="1" ref="D58" ca="1">_FV(C58,"Preis")</f>
        <v>63.6</v>
      </c>
      <c r="E58" s="1" cm="1">
        <f t="array" aca="1" ref="E58" ca="1">_FV(C58,"52-Wochen-Hoch",TRUE)</f>
        <v>193.84</v>
      </c>
      <c r="F58" s="1" cm="1">
        <f t="array" aca="1" ref="F58" ca="1">_FV(C58,"52-Wochen-Tief",TRUE)</f>
        <v>19.89</v>
      </c>
      <c r="G58" s="4">
        <f t="shared" ca="1" si="0"/>
        <v>0.25127910319057201</v>
      </c>
      <c r="H58" s="4">
        <f t="shared" ca="1" si="1"/>
        <v>-0.4974417936188561</v>
      </c>
    </row>
    <row r="59" spans="1:8" x14ac:dyDescent="0.25">
      <c r="A59" t="s">
        <v>10</v>
      </c>
      <c r="B59" t="s">
        <v>13</v>
      </c>
      <c r="C59" t="e" vm="58">
        <v>#VALUE!</v>
      </c>
      <c r="D59" s="1" cm="1">
        <f t="array" aca="1" ref="D59" ca="1">_FV(C59,"Preis")</f>
        <v>31.38</v>
      </c>
      <c r="E59" s="1" cm="1">
        <f t="array" aca="1" ref="E59" ca="1">_FV(C59,"52-Wochen-Hoch",TRUE)</f>
        <v>54.72</v>
      </c>
      <c r="F59" s="1" cm="1">
        <f t="array" aca="1" ref="F59" ca="1">_FV(C59,"52-Wochen-Tief",TRUE)</f>
        <v>25.774999999999999</v>
      </c>
      <c r="G59" s="4">
        <f t="shared" ca="1" si="0"/>
        <v>0.19364311625496633</v>
      </c>
      <c r="H59" s="4">
        <f t="shared" ca="1" si="1"/>
        <v>-0.61271376749006756</v>
      </c>
    </row>
    <row r="60" spans="1:8" x14ac:dyDescent="0.25">
      <c r="A60" t="s">
        <v>10</v>
      </c>
      <c r="B60" t="s">
        <v>13</v>
      </c>
      <c r="C60" t="e" vm="59">
        <v>#VALUE!</v>
      </c>
      <c r="D60" s="1" cm="1">
        <f t="array" aca="1" ref="D60" ca="1">_FV(C60,"Preis")</f>
        <v>38.075000000000003</v>
      </c>
      <c r="E60" s="1" cm="1">
        <f t="array" aca="1" ref="E60" ca="1">_FV(C60,"52-Wochen-Hoch",TRUE)</f>
        <v>53.75</v>
      </c>
      <c r="F60" s="1" cm="1">
        <f t="array" aca="1" ref="F60" ca="1">_FV(C60,"52-Wochen-Tief",TRUE)</f>
        <v>11.45</v>
      </c>
      <c r="G60" s="4">
        <f t="shared" ca="1" si="0"/>
        <v>0.62943262411347534</v>
      </c>
      <c r="H60" s="4">
        <f t="shared" ca="1" si="1"/>
        <v>0.25886524822695045</v>
      </c>
    </row>
    <row r="61" spans="1:8" x14ac:dyDescent="0.25">
      <c r="A61" t="s">
        <v>10</v>
      </c>
      <c r="B61" t="s">
        <v>13</v>
      </c>
      <c r="C61" t="e" vm="60">
        <v>#VALUE!</v>
      </c>
      <c r="D61" s="1" cm="1">
        <f t="array" aca="1" ref="D61" ca="1">_FV(C61,"Preis")</f>
        <v>189.06</v>
      </c>
      <c r="E61" s="1" cm="1">
        <f t="array" aca="1" ref="E61" ca="1">_FV(C61,"52-Wochen-Hoch",TRUE)</f>
        <v>285.99</v>
      </c>
      <c r="F61" s="1" cm="1">
        <f t="array" aca="1" ref="F61" ca="1">_FV(C61,"52-Wochen-Tief",TRUE)</f>
        <v>119.09010000000001</v>
      </c>
      <c r="G61" s="4">
        <f t="shared" ca="1" si="0"/>
        <v>0.41923272572362236</v>
      </c>
      <c r="H61" s="4">
        <f t="shared" ca="1" si="1"/>
        <v>-0.16153454855275534</v>
      </c>
    </row>
    <row r="62" spans="1:8" x14ac:dyDescent="0.25">
      <c r="A62" t="s">
        <v>10</v>
      </c>
      <c r="B62" t="s">
        <v>13</v>
      </c>
      <c r="C62" t="e" vm="36">
        <v>#VALUE!</v>
      </c>
      <c r="D62" s="1" cm="1">
        <f t="array" aca="1" ref="D62" ca="1">_FV(C62,"Preis")</f>
        <v>90.9</v>
      </c>
      <c r="E62" s="1" cm="1">
        <f t="array" aca="1" ref="E62" ca="1">_FV(C62,"52-Wochen-Hoch",TRUE)</f>
        <v>96.204999999999998</v>
      </c>
      <c r="F62" s="1" cm="1">
        <f t="array" aca="1" ref="F62" ca="1">_FV(C62,"52-Wochen-Tief",TRUE)</f>
        <v>63.64</v>
      </c>
      <c r="G62" s="4">
        <f t="shared" ca="1" si="0"/>
        <v>0.83709504068785523</v>
      </c>
      <c r="H62" s="4">
        <f t="shared" ca="1" si="1"/>
        <v>0.67419008137571057</v>
      </c>
    </row>
    <row r="63" spans="1:8" x14ac:dyDescent="0.25">
      <c r="A63" t="s">
        <v>10</v>
      </c>
      <c r="B63" t="s">
        <v>13</v>
      </c>
      <c r="C63" t="e" vm="61">
        <v>#VALUE!</v>
      </c>
      <c r="D63" s="1" cm="1">
        <f t="array" aca="1" ref="D63" ca="1">_FV(C63,"Preis")</f>
        <v>43.64</v>
      </c>
      <c r="E63" s="1" cm="1">
        <f t="array" aca="1" ref="E63" ca="1">_FV(C63,"52-Wochen-Hoch",TRUE)</f>
        <v>45.18</v>
      </c>
      <c r="F63" s="1" cm="1">
        <f t="array" aca="1" ref="F63" ca="1">_FV(C63,"52-Wochen-Tief",TRUE)</f>
        <v>26.164999999999999</v>
      </c>
      <c r="G63" s="4">
        <f t="shared" ca="1" si="0"/>
        <v>0.91901130686300292</v>
      </c>
      <c r="H63" s="4">
        <f t="shared" ca="1" si="1"/>
        <v>0.83802261372600584</v>
      </c>
    </row>
    <row r="64" spans="1:8" x14ac:dyDescent="0.25">
      <c r="A64" t="s">
        <v>10</v>
      </c>
      <c r="B64" t="s">
        <v>13</v>
      </c>
      <c r="C64" t="e" vm="62">
        <v>#VALUE!</v>
      </c>
      <c r="D64" s="3" cm="1">
        <f t="array" aca="1" ref="D64" ca="1">_FV(C64,"Preis")</f>
        <v>26.4</v>
      </c>
      <c r="E64" s="3" cm="1">
        <f t="array" aca="1" ref="E64" ca="1">_FV(C64,"52-Wochen-Hoch",TRUE)</f>
        <v>27.14</v>
      </c>
      <c r="F64" s="3" cm="1">
        <f t="array" aca="1" ref="F64" ca="1">_FV(C64,"52-Wochen-Tief",TRUE)</f>
        <v>11.335000000000001</v>
      </c>
      <c r="G64" s="4">
        <f t="shared" ca="1" si="0"/>
        <v>0.95317937361594418</v>
      </c>
      <c r="H64" s="4">
        <f t="shared" ca="1" si="1"/>
        <v>0.90635874723188836</v>
      </c>
    </row>
    <row r="65" spans="1:8" x14ac:dyDescent="0.25">
      <c r="A65" t="s">
        <v>10</v>
      </c>
      <c r="B65" t="s">
        <v>13</v>
      </c>
      <c r="C65" t="e" vm="63">
        <v>#VALUE!</v>
      </c>
      <c r="D65" s="1" cm="1">
        <f t="array" aca="1" ref="D65" ca="1">_FV(C65,"Preis")</f>
        <v>11.87</v>
      </c>
      <c r="E65" s="1" cm="1">
        <f t="array" aca="1" ref="E65" ca="1">_FV(C65,"52-Wochen-Hoch",TRUE)</f>
        <v>22.44</v>
      </c>
      <c r="F65" s="1" cm="1">
        <f t="array" aca="1" ref="F65" ca="1">_FV(C65,"52-Wochen-Tief",TRUE)</f>
        <v>5.38</v>
      </c>
      <c r="G65" s="4">
        <f t="shared" ca="1" si="0"/>
        <v>0.38042203985931994</v>
      </c>
      <c r="H65" s="4">
        <f t="shared" ca="1" si="1"/>
        <v>-0.23915592028135998</v>
      </c>
    </row>
    <row r="66" spans="1:8" x14ac:dyDescent="0.25">
      <c r="A66" t="s">
        <v>10</v>
      </c>
      <c r="B66" t="s">
        <v>14</v>
      </c>
      <c r="C66" t="e" vm="64">
        <v>#VALUE!</v>
      </c>
      <c r="D66" s="1" cm="1">
        <f t="array" aca="1" ref="D66" ca="1">_FV(C66,"Preis")</f>
        <v>152.43</v>
      </c>
      <c r="E66" s="1" cm="1">
        <f t="array" aca="1" ref="E66" ca="1">_FV(C66,"52-Wochen-Hoch",TRUE)</f>
        <v>176.41</v>
      </c>
      <c r="F66" s="1" cm="1">
        <f t="array" aca="1" ref="F66" ca="1">_FV(C66,"52-Wochen-Tief",TRUE)</f>
        <v>101.185</v>
      </c>
      <c r="G66" s="4">
        <f t="shared" ca="1" si="0"/>
        <v>0.6812229976736458</v>
      </c>
      <c r="H66" s="4">
        <f t="shared" ca="1" si="1"/>
        <v>0.36244599534729133</v>
      </c>
    </row>
    <row r="67" spans="1:8" x14ac:dyDescent="0.25">
      <c r="A67" t="s">
        <v>10</v>
      </c>
      <c r="B67" t="s">
        <v>14</v>
      </c>
      <c r="C67" t="e" vm="65">
        <v>#VALUE!</v>
      </c>
      <c r="D67" s="1" cm="1">
        <f t="array" aca="1" ref="D67" ca="1">_FV(C67,"Preis")</f>
        <v>75.72</v>
      </c>
      <c r="E67" s="1" cm="1">
        <f t="array" aca="1" ref="E67" ca="1">_FV(C67,"52-Wochen-Hoch",TRUE)</f>
        <v>85.15</v>
      </c>
      <c r="F67" s="1" cm="1">
        <f t="array" aca="1" ref="F67" ca="1">_FV(C67,"52-Wochen-Tief",TRUE)</f>
        <v>58.35</v>
      </c>
      <c r="G67" s="4">
        <f t="shared" ref="G67:G130" ca="1" si="2">(D67-F67)/(E67-F67)</f>
        <v>0.64813432835820872</v>
      </c>
      <c r="H67" s="4">
        <f t="shared" ref="H67:H130" ca="1" si="3">IFERROR((D67-((E67+F67)/2))/((E67-F67)/2),"")</f>
        <v>0.29626865671641778</v>
      </c>
    </row>
    <row r="68" spans="1:8" x14ac:dyDescent="0.25">
      <c r="A68" t="s">
        <v>10</v>
      </c>
      <c r="B68" t="s">
        <v>14</v>
      </c>
      <c r="C68" t="e" vm="66">
        <v>#VALUE!</v>
      </c>
      <c r="D68" s="1" cm="1">
        <f t="array" aca="1" ref="D68" ca="1">_FV(C68,"Preis")</f>
        <v>91.57</v>
      </c>
      <c r="E68" s="1" cm="1">
        <f t="array" aca="1" ref="E68" ca="1">_FV(C68,"52-Wochen-Hoch",TRUE)</f>
        <v>94.9</v>
      </c>
      <c r="F68" s="1" cm="1">
        <f t="array" aca="1" ref="F68" ca="1">_FV(C68,"52-Wochen-Tief",TRUE)</f>
        <v>63.77</v>
      </c>
      <c r="G68" s="4">
        <f t="shared" ca="1" si="2"/>
        <v>0.89302923225184672</v>
      </c>
      <c r="H68" s="4">
        <f t="shared" ca="1" si="3"/>
        <v>0.78605846450369321</v>
      </c>
    </row>
    <row r="69" spans="1:8" x14ac:dyDescent="0.25">
      <c r="A69" t="s">
        <v>10</v>
      </c>
      <c r="B69" t="s">
        <v>14</v>
      </c>
      <c r="C69" t="e" vm="67">
        <v>#VALUE!</v>
      </c>
      <c r="D69" s="1" cm="1">
        <f t="array" aca="1" ref="D69" ca="1">_FV(C69,"Preis")</f>
        <v>584</v>
      </c>
      <c r="E69" s="1" cm="1">
        <f t="array" aca="1" ref="E69" ca="1">_FV(C69,"52-Wochen-Hoch",TRUE)</f>
        <v>609.4</v>
      </c>
      <c r="F69" s="1" cm="1">
        <f t="array" aca="1" ref="F69" ca="1">_FV(C69,"52-Wochen-Tief",TRUE)</f>
        <v>337.65</v>
      </c>
      <c r="G69" s="4">
        <f t="shared" ca="1" si="2"/>
        <v>0.9065317387304509</v>
      </c>
      <c r="H69" s="4">
        <f t="shared" ca="1" si="3"/>
        <v>0.81306347746090168</v>
      </c>
    </row>
    <row r="70" spans="1:8" x14ac:dyDescent="0.25">
      <c r="A70" t="s">
        <v>10</v>
      </c>
      <c r="B70" t="s">
        <v>14</v>
      </c>
      <c r="C70" t="e" vm="68">
        <v>#VALUE!</v>
      </c>
      <c r="D70" s="1" cm="1">
        <f t="array" aca="1" ref="D70" ca="1">_FV(C70,"Preis")</f>
        <v>90.909300000000002</v>
      </c>
      <c r="E70" s="1" cm="1">
        <f t="array" aca="1" ref="E70" ca="1">_FV(C70,"52-Wochen-Hoch",TRUE)</f>
        <v>93.49</v>
      </c>
      <c r="F70" s="1" cm="1">
        <f t="array" aca="1" ref="F70" ca="1">_FV(C70,"52-Wochen-Tief",TRUE)</f>
        <v>62.155000000000001</v>
      </c>
      <c r="G70" s="4">
        <f t="shared" ca="1" si="2"/>
        <v>0.91764161480772322</v>
      </c>
      <c r="H70" s="4">
        <f t="shared" ca="1" si="3"/>
        <v>0.83528322961544688</v>
      </c>
    </row>
    <row r="71" spans="1:8" x14ac:dyDescent="0.25">
      <c r="A71" t="s">
        <v>10</v>
      </c>
      <c r="B71" t="s">
        <v>14</v>
      </c>
      <c r="C71" t="e" vm="69">
        <v>#VALUE!</v>
      </c>
      <c r="D71" s="1" cm="1">
        <f t="array" aca="1" ref="D71" ca="1">_FV(C71,"Preis")</f>
        <v>121.22499999999999</v>
      </c>
      <c r="E71" s="1" cm="1">
        <f t="array" aca="1" ref="E71" ca="1">_FV(C71,"52-Wochen-Hoch",TRUE)</f>
        <v>135.87</v>
      </c>
      <c r="F71" s="1" cm="1">
        <f t="array" aca="1" ref="F71" ca="1">_FV(C71,"52-Wochen-Tief",TRUE)</f>
        <v>84.28</v>
      </c>
      <c r="G71" s="4">
        <f t="shared" ca="1" si="2"/>
        <v>0.71612715642566371</v>
      </c>
      <c r="H71" s="4">
        <f t="shared" ca="1" si="3"/>
        <v>0.43225431285132743</v>
      </c>
    </row>
    <row r="72" spans="1:8" x14ac:dyDescent="0.25">
      <c r="A72" t="s">
        <v>10</v>
      </c>
      <c r="B72" t="s">
        <v>14</v>
      </c>
      <c r="C72" t="e" vm="70">
        <v>#VALUE!</v>
      </c>
      <c r="D72" s="1" cm="1">
        <f t="array" aca="1" ref="D72" ca="1">_FV(C72,"Preis")</f>
        <v>1.575</v>
      </c>
      <c r="E72" s="1" cm="1">
        <f t="array" aca="1" ref="E72" ca="1">_FV(C72,"52-Wochen-Hoch",TRUE)</f>
        <v>2.4</v>
      </c>
      <c r="F72" s="1" cm="1">
        <f t="array" aca="1" ref="F72" ca="1">_FV(C72,"52-Wochen-Tief",TRUE)</f>
        <v>0.45</v>
      </c>
      <c r="G72" s="4">
        <f t="shared" ca="1" si="2"/>
        <v>0.57692307692307698</v>
      </c>
      <c r="H72" s="4">
        <f t="shared" ca="1" si="3"/>
        <v>0.15384615384615377</v>
      </c>
    </row>
    <row r="73" spans="1:8" x14ac:dyDescent="0.25">
      <c r="A73" t="s">
        <v>15</v>
      </c>
      <c r="B73" t="s">
        <v>16</v>
      </c>
      <c r="C73" t="e" vm="71">
        <v>#VALUE!</v>
      </c>
      <c r="D73" s="1" cm="1">
        <f t="array" aca="1" ref="D73" ca="1">_FV(C73,"Preis")</f>
        <v>902.78</v>
      </c>
      <c r="E73" s="1" cm="1">
        <f t="array" aca="1" ref="E73" ca="1">_FV(C73,"52-Wochen-Hoch",TRUE)</f>
        <v>1133.95</v>
      </c>
      <c r="F73" s="1" cm="1">
        <f t="array" aca="1" ref="F73" ca="1">_FV(C73,"52-Wochen-Tief",TRUE)</f>
        <v>623.78</v>
      </c>
      <c r="G73" s="4">
        <f t="shared" ca="1" si="2"/>
        <v>0.5468765313522943</v>
      </c>
      <c r="H73" s="4">
        <f t="shared" ca="1" si="3"/>
        <v>9.3753062704588511E-2</v>
      </c>
    </row>
    <row r="74" spans="1:8" x14ac:dyDescent="0.25">
      <c r="A74" t="s">
        <v>15</v>
      </c>
      <c r="B74" t="s">
        <v>16</v>
      </c>
      <c r="C74" t="e" vm="72">
        <v>#VALUE!</v>
      </c>
      <c r="D74" s="1" cm="1">
        <f t="array" aca="1" ref="D74" ca="1">_FV(C74,"Preis")</f>
        <v>40.847499999999997</v>
      </c>
      <c r="E74" s="1" cm="1">
        <f t="array" aca="1" ref="E74" ca="1">_FV(C74,"52-Wochen-Hoch",TRUE)</f>
        <v>81.44</v>
      </c>
      <c r="F74" s="1" cm="1">
        <f t="array" aca="1" ref="F74" ca="1">_FV(C74,"52-Wochen-Tief",TRUE)</f>
        <v>35.119999999999997</v>
      </c>
      <c r="G74" s="4">
        <f t="shared" ca="1" si="2"/>
        <v>0.12365069084628669</v>
      </c>
      <c r="H74" s="4">
        <f t="shared" ca="1" si="3"/>
        <v>-0.75269861830742679</v>
      </c>
    </row>
    <row r="75" spans="1:8" x14ac:dyDescent="0.25">
      <c r="A75" t="s">
        <v>15</v>
      </c>
      <c r="B75" t="s">
        <v>16</v>
      </c>
      <c r="C75" t="e" vm="73">
        <v>#VALUE!</v>
      </c>
      <c r="D75" s="1" cm="1">
        <f t="array" aca="1" ref="D75" ca="1">_FV(C75,"Preis")</f>
        <v>27.175000000000001</v>
      </c>
      <c r="E75" s="1" cm="1">
        <f t="array" aca="1" ref="E75" ca="1">_FV(C75,"52-Wochen-Hoch",TRUE)</f>
        <v>28.745000000000001</v>
      </c>
      <c r="F75" s="1" cm="1">
        <f t="array" aca="1" ref="F75" ca="1">_FV(C75,"52-Wochen-Tief",TRUE)</f>
        <v>21.87</v>
      </c>
      <c r="G75" s="4">
        <f t="shared" ca="1" si="2"/>
        <v>0.77163636363636356</v>
      </c>
      <c r="H75" s="4">
        <f t="shared" ca="1" si="3"/>
        <v>0.54327272727272724</v>
      </c>
    </row>
    <row r="76" spans="1:8" x14ac:dyDescent="0.25">
      <c r="A76" t="s">
        <v>15</v>
      </c>
      <c r="B76" t="s">
        <v>16</v>
      </c>
      <c r="C76" t="e" vm="74">
        <v>#VALUE!</v>
      </c>
      <c r="D76" s="1" cm="1">
        <f t="array" aca="1" ref="D76" ca="1">_FV(C76,"Preis")</f>
        <v>115.155</v>
      </c>
      <c r="E76" s="1" cm="1">
        <f t="array" aca="1" ref="E76" ca="1">_FV(C76,"52-Wochen-Hoch",TRUE)</f>
        <v>125.14</v>
      </c>
      <c r="F76" s="1" cm="1">
        <f t="array" aca="1" ref="F76" ca="1">_FV(C76,"52-Wochen-Tief",TRUE)</f>
        <v>73.31</v>
      </c>
      <c r="G76" s="4">
        <f t="shared" ca="1" si="2"/>
        <v>0.80735095504534049</v>
      </c>
      <c r="H76" s="4">
        <f t="shared" ca="1" si="3"/>
        <v>0.61470191009068131</v>
      </c>
    </row>
    <row r="77" spans="1:8" x14ac:dyDescent="0.25">
      <c r="A77" t="s">
        <v>15</v>
      </c>
      <c r="B77" t="s">
        <v>16</v>
      </c>
      <c r="C77" t="e" vm="75">
        <v>#VALUE!</v>
      </c>
      <c r="D77" s="1" cm="1">
        <f t="array" aca="1" ref="D77" ca="1">_FV(C77,"Preis")</f>
        <v>0.13</v>
      </c>
      <c r="E77" s="1" cm="1">
        <f t="array" aca="1" ref="E77" ca="1">_FV(C77,"52-Wochen-Hoch",TRUE)</f>
        <v>0.16</v>
      </c>
      <c r="F77" s="1" cm="1">
        <f t="array" aca="1" ref="F77" ca="1">_FV(C77,"52-Wochen-Tief",TRUE)</f>
        <v>7.2999999999999995E-2</v>
      </c>
      <c r="G77" s="4">
        <f t="shared" ca="1" si="2"/>
        <v>0.65517241379310354</v>
      </c>
      <c r="H77" s="4">
        <f t="shared" ca="1" si="3"/>
        <v>0.31034482758620713</v>
      </c>
    </row>
    <row r="78" spans="1:8" x14ac:dyDescent="0.25">
      <c r="A78" t="s">
        <v>15</v>
      </c>
      <c r="B78" t="s">
        <v>16</v>
      </c>
      <c r="C78" t="e" vm="76">
        <v>#VALUE!</v>
      </c>
      <c r="D78" s="1" cm="1">
        <f t="array" aca="1" ref="D78" ca="1">_FV(C78,"Preis")</f>
        <v>200.69</v>
      </c>
      <c r="E78" s="1" cm="1">
        <f t="array" aca="1" ref="E78" ca="1">_FV(C78,"52-Wochen-Hoch",TRUE)</f>
        <v>212.71</v>
      </c>
      <c r="F78" s="1" cm="1">
        <f t="array" aca="1" ref="F78" ca="1">_FV(C78,"52-Wochen-Tief",TRUE)</f>
        <v>129.15</v>
      </c>
      <c r="G78" s="4">
        <f t="shared" ca="1" si="2"/>
        <v>0.85615126854954515</v>
      </c>
      <c r="H78" s="4">
        <f t="shared" ca="1" si="3"/>
        <v>0.71230253709909019</v>
      </c>
    </row>
    <row r="79" spans="1:8" x14ac:dyDescent="0.25">
      <c r="A79" t="s">
        <v>15</v>
      </c>
      <c r="B79" t="s">
        <v>16</v>
      </c>
      <c r="C79" t="e" vm="77">
        <v>#VALUE!</v>
      </c>
      <c r="D79" s="1" cm="1">
        <f t="array" aca="1" ref="D79" ca="1">_FV(C79,"Preis")</f>
        <v>58.255000000000003</v>
      </c>
      <c r="E79" s="1" cm="1">
        <f t="array" aca="1" ref="E79" ca="1">_FV(C79,"52-Wochen-Hoch",TRUE)</f>
        <v>62.886400000000002</v>
      </c>
      <c r="F79" s="1" cm="1">
        <f t="array" aca="1" ref="F79" ca="1">_FV(C79,"52-Wochen-Tief",TRUE)</f>
        <v>42.52</v>
      </c>
      <c r="G79" s="4">
        <f t="shared" ca="1" si="2"/>
        <v>0.77259604053735564</v>
      </c>
      <c r="H79" s="4">
        <f t="shared" ca="1" si="3"/>
        <v>0.54519208107471129</v>
      </c>
    </row>
    <row r="80" spans="1:8" x14ac:dyDescent="0.25">
      <c r="A80" t="s">
        <v>15</v>
      </c>
      <c r="B80" t="s">
        <v>17</v>
      </c>
      <c r="C80" t="e" vm="78">
        <v>#VALUE!</v>
      </c>
      <c r="D80" s="1" cm="1">
        <f t="array" aca="1" ref="D80" ca="1">_FV(C80,"Preis")</f>
        <v>749.32</v>
      </c>
      <c r="E80" s="1" cm="1">
        <f t="array" aca="1" ref="E80" ca="1">_FV(C80,"52-Wochen-Hoch",TRUE)</f>
        <v>821.11</v>
      </c>
      <c r="F80" s="1" cm="1">
        <f t="array" aca="1" ref="F80" ca="1">_FV(C80,"52-Wochen-Tief",TRUE)</f>
        <v>476.48689999999999</v>
      </c>
      <c r="G80" s="4">
        <f t="shared" ca="1" si="2"/>
        <v>0.79168546739902246</v>
      </c>
      <c r="H80" s="4">
        <f t="shared" ca="1" si="3"/>
        <v>0.5833709347980448</v>
      </c>
    </row>
    <row r="81" spans="1:8" x14ac:dyDescent="0.25">
      <c r="A81" t="s">
        <v>15</v>
      </c>
      <c r="B81" t="s">
        <v>17</v>
      </c>
      <c r="C81" t="e" vm="79">
        <v>#VALUE!</v>
      </c>
      <c r="D81" s="1" cm="1">
        <f t="array" aca="1" ref="D81" ca="1">_FV(C81,"Preis")</f>
        <v>437.06</v>
      </c>
      <c r="E81" s="1" cm="1">
        <f t="array" aca="1" ref="E81" ca="1">_FV(C81,"52-Wochen-Hoch",TRUE)</f>
        <v>510.77</v>
      </c>
      <c r="F81" s="1" cm="1">
        <f t="array" aca="1" ref="F81" ca="1">_FV(C81,"52-Wochen-Tief",TRUE)</f>
        <v>362.5</v>
      </c>
      <c r="G81" s="4">
        <f t="shared" ca="1" si="2"/>
        <v>0.5028663923922575</v>
      </c>
      <c r="H81" s="4">
        <f t="shared" ca="1" si="3"/>
        <v>5.7327847845148909E-3</v>
      </c>
    </row>
    <row r="82" spans="1:8" x14ac:dyDescent="0.25">
      <c r="A82" t="s">
        <v>15</v>
      </c>
      <c r="B82" t="s">
        <v>17</v>
      </c>
      <c r="C82" t="e" vm="80">
        <v>#VALUE!</v>
      </c>
      <c r="D82" s="1" cm="1">
        <f t="array" aca="1" ref="D82" ca="1">_FV(C82,"Preis")</f>
        <v>175.92009999999999</v>
      </c>
      <c r="E82" s="1" cm="1">
        <f t="array" aca="1" ref="E82" ca="1">_FV(C82,"52-Wochen-Hoch",TRUE)</f>
        <v>202.41</v>
      </c>
      <c r="F82" s="1" cm="1">
        <f t="array" aca="1" ref="F82" ca="1">_FV(C82,"52-Wochen-Tief",TRUE)</f>
        <v>114.66</v>
      </c>
      <c r="G82" s="4">
        <f t="shared" ca="1" si="2"/>
        <v>0.6981207977207976</v>
      </c>
      <c r="H82" s="4">
        <f t="shared" ca="1" si="3"/>
        <v>0.39624159544159532</v>
      </c>
    </row>
    <row r="83" spans="1:8" x14ac:dyDescent="0.25">
      <c r="A83" t="s">
        <v>15</v>
      </c>
      <c r="B83" t="s">
        <v>17</v>
      </c>
      <c r="C83" t="e" vm="81">
        <v>#VALUE!</v>
      </c>
      <c r="D83" s="1" cm="1">
        <f t="array" aca="1" ref="D83" ca="1">_FV(C83,"Preis")</f>
        <v>138.52000000000001</v>
      </c>
      <c r="E83" s="1" cm="1">
        <f t="array" aca="1" ref="E83" ca="1">_FV(C83,"52-Wochen-Hoch",TRUE)</f>
        <v>157.29</v>
      </c>
      <c r="F83" s="1" cm="1">
        <f t="array" aca="1" ref="F83" ca="1">_FV(C83,"52-Wochen-Tief",TRUE)</f>
        <v>93.37</v>
      </c>
      <c r="G83" s="4">
        <f t="shared" ca="1" si="2"/>
        <v>0.70635168961201522</v>
      </c>
      <c r="H83" s="4">
        <f t="shared" ca="1" si="3"/>
        <v>0.4127033792240305</v>
      </c>
    </row>
    <row r="84" spans="1:8" x14ac:dyDescent="0.25">
      <c r="A84" t="s">
        <v>15</v>
      </c>
      <c r="B84" t="s">
        <v>17</v>
      </c>
      <c r="C84" t="e" vm="82">
        <v>#VALUE!</v>
      </c>
      <c r="D84" s="1" cm="1">
        <f t="array" aca="1" ref="D84" ca="1">_FV(C84,"Preis")</f>
        <v>53.564599999999999</v>
      </c>
      <c r="E84" s="1" cm="1">
        <f t="array" aca="1" ref="E84" ca="1">_FV(C84,"52-Wochen-Hoch",TRUE)</f>
        <v>59.55</v>
      </c>
      <c r="F84" s="1" cm="1">
        <f t="array" aca="1" ref="F84" ca="1">_FV(C84,"52-Wochen-Tief",TRUE)</f>
        <v>22.28</v>
      </c>
      <c r="G84" s="4">
        <f t="shared" ca="1" si="2"/>
        <v>0.83940434665951169</v>
      </c>
      <c r="H84" s="4">
        <f t="shared" ca="1" si="3"/>
        <v>0.67880869331902338</v>
      </c>
    </row>
    <row r="85" spans="1:8" x14ac:dyDescent="0.25">
      <c r="A85" t="s">
        <v>15</v>
      </c>
      <c r="B85" t="s">
        <v>17</v>
      </c>
      <c r="C85" t="e" vm="83">
        <v>#VALUE!</v>
      </c>
      <c r="D85" s="1" cm="1">
        <f t="array" aca="1" ref="D85" ca="1">_FV(C85,"Preis")</f>
        <v>94.77</v>
      </c>
      <c r="E85" s="1" cm="1">
        <f t="array" aca="1" ref="E85" ca="1">_FV(C85,"52-Wochen-Hoch",TRUE)</f>
        <v>112.29</v>
      </c>
      <c r="F85" s="1" cm="1">
        <f t="array" aca="1" ref="F85" ca="1">_FV(C85,"52-Wochen-Tief",TRUE)</f>
        <v>56.13</v>
      </c>
      <c r="G85" s="4">
        <f t="shared" ca="1" si="2"/>
        <v>0.68803418803418792</v>
      </c>
      <c r="H85" s="4">
        <f t="shared" ca="1" si="3"/>
        <v>0.37606837606837562</v>
      </c>
    </row>
    <row r="86" spans="1:8" x14ac:dyDescent="0.25">
      <c r="A86" t="s">
        <v>15</v>
      </c>
      <c r="B86" t="s">
        <v>17</v>
      </c>
      <c r="C86" t="e" vm="84">
        <v>#VALUE!</v>
      </c>
      <c r="D86" s="1" cm="1">
        <f t="array" aca="1" ref="D86" ca="1">_FV(C86,"Preis")</f>
        <v>325.33</v>
      </c>
      <c r="E86" s="1" cm="1">
        <f t="array" aca="1" ref="E86" ca="1">_FV(C86,"52-Wochen-Hoch",TRUE)</f>
        <v>495.55</v>
      </c>
      <c r="F86" s="1" cm="1">
        <f t="array" aca="1" ref="F86" ca="1">_FV(C86,"52-Wochen-Tief",TRUE)</f>
        <v>225.84479999999999</v>
      </c>
      <c r="G86" s="4">
        <f t="shared" ca="1" si="2"/>
        <v>0.36886645122155598</v>
      </c>
      <c r="H86" s="4">
        <f t="shared" ca="1" si="3"/>
        <v>-0.26226709755688826</v>
      </c>
    </row>
    <row r="87" spans="1:8" x14ac:dyDescent="0.25">
      <c r="A87" t="s">
        <v>15</v>
      </c>
      <c r="B87" t="s">
        <v>18</v>
      </c>
      <c r="C87" t="e" vm="85">
        <v>#VALUE!</v>
      </c>
      <c r="D87" s="1" cm="1">
        <f t="array" aca="1" ref="D87" ca="1">_FV(C87,"Preis")</f>
        <v>455.01499999999999</v>
      </c>
      <c r="E87" s="1" cm="1">
        <f t="array" aca="1" ref="E87" ca="1">_FV(C87,"52-Wochen-Hoch",TRUE)</f>
        <v>603.88</v>
      </c>
      <c r="F87" s="1" cm="1">
        <f t="array" aca="1" ref="F87" ca="1">_FV(C87,"52-Wochen-Tief",TRUE)</f>
        <v>427.83600000000001</v>
      </c>
      <c r="G87" s="4">
        <f t="shared" ca="1" si="2"/>
        <v>0.15438753947876654</v>
      </c>
      <c r="H87" s="4">
        <f t="shared" ca="1" si="3"/>
        <v>-0.69122492104246624</v>
      </c>
    </row>
    <row r="88" spans="1:8" x14ac:dyDescent="0.25">
      <c r="A88" t="s">
        <v>15</v>
      </c>
      <c r="B88" t="s">
        <v>18</v>
      </c>
      <c r="C88" t="e" vm="86">
        <v>#VALUE!</v>
      </c>
      <c r="D88" s="1" cm="1">
        <f t="array" aca="1" ref="D88" ca="1">_FV(C88,"Preis")</f>
        <v>94.97</v>
      </c>
      <c r="E88" s="1" cm="1">
        <f t="array" aca="1" ref="E88" ca="1">_FV(C88,"52-Wochen-Hoch",TRUE)</f>
        <v>139.06</v>
      </c>
      <c r="F88" s="1" cm="1">
        <f t="array" aca="1" ref="F88" ca="1">_FV(C88,"52-Wochen-Tief",TRUE)</f>
        <v>93.92</v>
      </c>
      <c r="G88" s="4">
        <f t="shared" ca="1" si="2"/>
        <v>2.3260965883916639E-2</v>
      </c>
      <c r="H88" s="4">
        <f t="shared" ca="1" si="3"/>
        <v>-0.95347806823216708</v>
      </c>
    </row>
    <row r="89" spans="1:8" x14ac:dyDescent="0.25">
      <c r="A89" t="s">
        <v>15</v>
      </c>
      <c r="B89" t="s">
        <v>18</v>
      </c>
      <c r="C89" t="e" vm="87">
        <v>#VALUE!</v>
      </c>
      <c r="D89" s="1" cm="1">
        <f t="array" aca="1" ref="D89" ca="1">_FV(C89,"Preis")</f>
        <v>86.3</v>
      </c>
      <c r="E89" s="1" cm="1">
        <f t="array" aca="1" ref="E89" ca="1">_FV(C89,"52-Wochen-Hoch",TRUE)</f>
        <v>106.33</v>
      </c>
      <c r="F89" s="1" cm="1">
        <f t="array" aca="1" ref="F89" ca="1">_FV(C89,"52-Wochen-Tief",TRUE)</f>
        <v>79.930000000000007</v>
      </c>
      <c r="G89" s="4">
        <f t="shared" ca="1" si="2"/>
        <v>0.2412878787878785</v>
      </c>
      <c r="H89" s="4">
        <f t="shared" ca="1" si="3"/>
        <v>-0.51742424242424245</v>
      </c>
    </row>
    <row r="90" spans="1:8" x14ac:dyDescent="0.25">
      <c r="A90" t="s">
        <v>15</v>
      </c>
      <c r="B90" t="s">
        <v>18</v>
      </c>
      <c r="C90" t="e" vm="88">
        <v>#VALUE!</v>
      </c>
      <c r="D90" s="1" cm="1">
        <f t="array" aca="1" ref="D90" ca="1">_FV(C90,"Preis")</f>
        <v>63.8</v>
      </c>
      <c r="E90" s="1" cm="1">
        <f t="array" aca="1" ref="E90" ca="1">_FV(C90,"52-Wochen-Hoch",TRUE)</f>
        <v>109.5</v>
      </c>
      <c r="F90" s="1" cm="1">
        <f t="array" aca="1" ref="F90" ca="1">_FV(C90,"52-Wochen-Tief",TRUE)</f>
        <v>60.59</v>
      </c>
      <c r="G90" s="4">
        <f t="shared" ca="1" si="2"/>
        <v>6.5630750357799916E-2</v>
      </c>
      <c r="H90" s="4">
        <f t="shared" ca="1" si="3"/>
        <v>-0.86873849928440017</v>
      </c>
    </row>
    <row r="91" spans="1:8" x14ac:dyDescent="0.25">
      <c r="A91" t="s">
        <v>15</v>
      </c>
      <c r="B91" t="s">
        <v>18</v>
      </c>
      <c r="C91" t="e" vm="89">
        <v>#VALUE!</v>
      </c>
      <c r="D91" s="1" cm="1">
        <f t="array" aca="1" ref="D91" ca="1">_FV(C91,"Preis")</f>
        <v>75.42</v>
      </c>
      <c r="E91" s="1" cm="1">
        <f t="array" aca="1" ref="E91" ca="1">_FV(C91,"52-Wochen-Hoch",TRUE)</f>
        <v>99.165099999999995</v>
      </c>
      <c r="F91" s="1" cm="1">
        <f t="array" aca="1" ref="F91" ca="1">_FV(C91,"52-Wochen-Tief",TRUE)</f>
        <v>59.44</v>
      </c>
      <c r="G91" s="4">
        <f t="shared" ca="1" si="2"/>
        <v>0.40226456321066545</v>
      </c>
      <c r="H91" s="4">
        <f t="shared" ca="1" si="3"/>
        <v>-0.19547087357866916</v>
      </c>
    </row>
    <row r="92" spans="1:8" x14ac:dyDescent="0.25">
      <c r="A92" t="s">
        <v>15</v>
      </c>
      <c r="B92" t="s">
        <v>18</v>
      </c>
      <c r="C92" t="e" vm="90">
        <v>#VALUE!</v>
      </c>
      <c r="D92" s="1" cm="1">
        <f t="array" aca="1" ref="D92" ca="1">_FV(C92,"Preis")</f>
        <v>77.709999999999994</v>
      </c>
      <c r="E92" s="1" cm="1">
        <f t="array" aca="1" ref="E92" ca="1">_FV(C92,"52-Wochen-Hoch",TRUE)</f>
        <v>87.89</v>
      </c>
      <c r="F92" s="1" cm="1">
        <f t="array" aca="1" ref="F92" ca="1">_FV(C92,"52-Wochen-Tief",TRUE)</f>
        <v>68.63</v>
      </c>
      <c r="G92" s="4">
        <f t="shared" ca="1" si="2"/>
        <v>0.47144340602284507</v>
      </c>
      <c r="H92" s="4">
        <f t="shared" ca="1" si="3"/>
        <v>-5.7113187954309141E-2</v>
      </c>
    </row>
    <row r="93" spans="1:8" x14ac:dyDescent="0.25">
      <c r="A93" t="s">
        <v>15</v>
      </c>
      <c r="B93" t="s">
        <v>18</v>
      </c>
      <c r="C93" t="e" vm="91">
        <v>#VALUE!</v>
      </c>
      <c r="D93" s="1" cm="1">
        <f t="array" aca="1" ref="D93" ca="1">_FV(C93,"Preis")</f>
        <v>61.49</v>
      </c>
      <c r="E93" s="1" cm="1">
        <f t="array" aca="1" ref="E93" ca="1">_FV(C93,"52-Wochen-Hoch",TRUE)</f>
        <v>89.98</v>
      </c>
      <c r="F93" s="1" cm="1">
        <f t="array" aca="1" ref="F93" ca="1">_FV(C93,"52-Wochen-Tief",TRUE)</f>
        <v>54.11</v>
      </c>
      <c r="G93" s="4">
        <f t="shared" ca="1" si="2"/>
        <v>0.20574296069138562</v>
      </c>
      <c r="H93" s="4">
        <f t="shared" ca="1" si="3"/>
        <v>-0.58851407861722882</v>
      </c>
    </row>
    <row r="94" spans="1:8" x14ac:dyDescent="0.25">
      <c r="A94" t="s">
        <v>15</v>
      </c>
      <c r="B94" t="s">
        <v>19</v>
      </c>
      <c r="C94" t="e" vm="71">
        <v>#VALUE!</v>
      </c>
      <c r="D94" s="1" cm="1">
        <f t="array" aca="1" ref="D94" ca="1">_FV(C94,"Preis")</f>
        <v>902.78</v>
      </c>
      <c r="E94" s="1" cm="1">
        <f t="array" aca="1" ref="E94" ca="1">_FV(C94,"52-Wochen-Hoch",TRUE)</f>
        <v>1133.95</v>
      </c>
      <c r="F94" s="1" cm="1">
        <f t="array" aca="1" ref="F94" ca="1">_FV(C94,"52-Wochen-Tief",TRUE)</f>
        <v>623.78</v>
      </c>
      <c r="G94" s="4">
        <f t="shared" ca="1" si="2"/>
        <v>0.5468765313522943</v>
      </c>
      <c r="H94" s="4">
        <f t="shared" ca="1" si="3"/>
        <v>9.3753062704588511E-2</v>
      </c>
    </row>
    <row r="95" spans="1:8" x14ac:dyDescent="0.25">
      <c r="A95" t="s">
        <v>15</v>
      </c>
      <c r="B95" t="s">
        <v>19</v>
      </c>
      <c r="C95" t="e" vm="72">
        <v>#VALUE!</v>
      </c>
      <c r="D95" s="1" cm="1">
        <f t="array" aca="1" ref="D95" ca="1">_FV(C95,"Preis")</f>
        <v>40.847499999999997</v>
      </c>
      <c r="E95" s="1" cm="1">
        <f t="array" aca="1" ref="E95" ca="1">_FV(C95,"52-Wochen-Hoch",TRUE)</f>
        <v>81.44</v>
      </c>
      <c r="F95" s="1" cm="1">
        <f t="array" aca="1" ref="F95" ca="1">_FV(C95,"52-Wochen-Tief",TRUE)</f>
        <v>35.119999999999997</v>
      </c>
      <c r="G95" s="4">
        <f t="shared" ca="1" si="2"/>
        <v>0.12365069084628669</v>
      </c>
      <c r="H95" s="4">
        <f t="shared" ca="1" si="3"/>
        <v>-0.75269861830742679</v>
      </c>
    </row>
    <row r="96" spans="1:8" x14ac:dyDescent="0.25">
      <c r="A96" t="s">
        <v>15</v>
      </c>
      <c r="B96" t="s">
        <v>19</v>
      </c>
      <c r="C96" t="e" vm="92">
        <v>#VALUE!</v>
      </c>
      <c r="D96" s="1" cm="1">
        <f t="array" aca="1" ref="D96" ca="1">_FV(C96,"Preis")</f>
        <v>3.4232</v>
      </c>
      <c r="E96" s="1" cm="1">
        <f t="array" aca="1" ref="E96" ca="1">_FV(C96,"52-Wochen-Hoch",TRUE)</f>
        <v>7.73</v>
      </c>
      <c r="F96" s="1" cm="1">
        <f t="array" aca="1" ref="F96" ca="1">_FV(C96,"52-Wochen-Tief",TRUE)</f>
        <v>2.87</v>
      </c>
      <c r="G96" s="4">
        <f t="shared" ca="1" si="2"/>
        <v>0.11382716049382713</v>
      </c>
      <c r="H96" s="4">
        <f t="shared" ca="1" si="3"/>
        <v>-0.77234567901234596</v>
      </c>
    </row>
    <row r="97" spans="1:8" x14ac:dyDescent="0.25">
      <c r="A97" t="s">
        <v>15</v>
      </c>
      <c r="B97" t="s">
        <v>19</v>
      </c>
      <c r="C97" t="e" vm="93">
        <v>#VALUE!</v>
      </c>
      <c r="D97" s="1" cm="1">
        <f t="array" aca="1" ref="D97" ca="1">_FV(C97,"Preis")</f>
        <v>35.24</v>
      </c>
      <c r="E97" s="1" cm="1">
        <f t="array" aca="1" ref="E97" ca="1">_FV(C97,"52-Wochen-Hoch",TRUE)</f>
        <v>43.15</v>
      </c>
      <c r="F97" s="1" cm="1">
        <f t="array" aca="1" ref="F97" ca="1">_FV(C97,"52-Wochen-Tief",TRUE)</f>
        <v>21.23</v>
      </c>
      <c r="G97" s="4">
        <f t="shared" ca="1" si="2"/>
        <v>0.63914233576642343</v>
      </c>
      <c r="H97" s="4">
        <f t="shared" ca="1" si="3"/>
        <v>0.27828467153284714</v>
      </c>
    </row>
    <row r="98" spans="1:8" x14ac:dyDescent="0.25">
      <c r="A98" t="s">
        <v>15</v>
      </c>
      <c r="B98" t="s">
        <v>19</v>
      </c>
      <c r="C98" t="e" vm="94">
        <v>#VALUE!</v>
      </c>
      <c r="D98" s="1" cm="1">
        <f t="array" aca="1" ref="D98" ca="1">_FV(C98,"Preis")</f>
        <v>347.52</v>
      </c>
      <c r="E98" s="1" cm="1">
        <f t="array" aca="1" ref="E98" ca="1">_FV(C98,"52-Wochen-Hoch",TRUE)</f>
        <v>391.29</v>
      </c>
      <c r="F98" s="1" cm="1">
        <f t="array" aca="1" ref="F98" ca="1">_FV(C98,"52-Wochen-Tief",TRUE)</f>
        <v>261.43</v>
      </c>
      <c r="G98" s="4">
        <f t="shared" ca="1" si="2"/>
        <v>0.6629447096873553</v>
      </c>
      <c r="H98" s="4">
        <f t="shared" ca="1" si="3"/>
        <v>0.32588941937471072</v>
      </c>
    </row>
    <row r="99" spans="1:8" x14ac:dyDescent="0.25">
      <c r="A99" t="s">
        <v>15</v>
      </c>
      <c r="B99" t="s">
        <v>19</v>
      </c>
      <c r="C99" t="e" vm="73">
        <v>#VALUE!</v>
      </c>
      <c r="D99" s="1" cm="1">
        <f t="array" aca="1" ref="D99" ca="1">_FV(C99,"Preis")</f>
        <v>27.175000000000001</v>
      </c>
      <c r="E99" s="1" cm="1">
        <f t="array" aca="1" ref="E99" ca="1">_FV(C99,"52-Wochen-Hoch",TRUE)</f>
        <v>28.745000000000001</v>
      </c>
      <c r="F99" s="1" cm="1">
        <f t="array" aca="1" ref="F99" ca="1">_FV(C99,"52-Wochen-Tief",TRUE)</f>
        <v>21.87</v>
      </c>
      <c r="G99" s="4">
        <f t="shared" ca="1" si="2"/>
        <v>0.77163636363636356</v>
      </c>
      <c r="H99" s="4">
        <f t="shared" ca="1" si="3"/>
        <v>0.54327272727272724</v>
      </c>
    </row>
    <row r="100" spans="1:8" x14ac:dyDescent="0.25">
      <c r="A100" t="s">
        <v>15</v>
      </c>
      <c r="B100" t="s">
        <v>19</v>
      </c>
      <c r="C100" t="e" vm="95">
        <v>#VALUE!</v>
      </c>
      <c r="D100" s="1" cm="1">
        <f t="array" aca="1" ref="D100" ca="1">_FV(C100,"Preis")</f>
        <v>49.9</v>
      </c>
      <c r="E100" s="1" cm="1">
        <f t="array" aca="1" ref="E100" ca="1">_FV(C100,"52-Wochen-Hoch",TRUE)</f>
        <v>60.85</v>
      </c>
      <c r="F100" s="1" cm="1">
        <f t="array" aca="1" ref="F100" ca="1">_FV(C100,"52-Wochen-Tief",TRUE)</f>
        <v>35.07</v>
      </c>
      <c r="G100" s="4">
        <f t="shared" ca="1" si="2"/>
        <v>0.57525213343677262</v>
      </c>
      <c r="H100" s="4">
        <f t="shared" ca="1" si="3"/>
        <v>0.15050426687354521</v>
      </c>
    </row>
    <row r="101" spans="1:8" x14ac:dyDescent="0.25">
      <c r="A101" t="s">
        <v>20</v>
      </c>
      <c r="B101" t="s">
        <v>21</v>
      </c>
      <c r="C101" t="e" vm="96">
        <v>#VALUE!</v>
      </c>
      <c r="D101" s="1" cm="1">
        <f t="array" aca="1" ref="D101" ca="1">_FV(C101,"Preis")</f>
        <v>401.32</v>
      </c>
      <c r="E101" s="1" cm="1">
        <f t="array" aca="1" ref="E101" ca="1">_FV(C101,"52-Wochen-Hoch",TRUE)</f>
        <v>438.72</v>
      </c>
      <c r="F101" s="1" cm="1">
        <f t="array" aca="1" ref="F101" ca="1">_FV(C101,"52-Wochen-Tief",TRUE)</f>
        <v>222.06</v>
      </c>
      <c r="G101" s="4">
        <f t="shared" ca="1" si="2"/>
        <v>0.82737930397858384</v>
      </c>
      <c r="H101" s="4">
        <f t="shared" ca="1" si="3"/>
        <v>0.65475860795716789</v>
      </c>
    </row>
    <row r="102" spans="1:8" x14ac:dyDescent="0.25">
      <c r="A102" t="s">
        <v>20</v>
      </c>
      <c r="B102" t="s">
        <v>21</v>
      </c>
      <c r="C102" t="e" vm="46">
        <v>#VALUE!</v>
      </c>
      <c r="D102" s="3" cm="1">
        <f t="array" aca="1" ref="D102" ca="1">_FV(C102,"Preis")</f>
        <v>239.6</v>
      </c>
      <c r="E102" s="3" cm="1">
        <f t="array" aca="1" ref="E102" ca="1">_FV(C102,"52-Wochen-Hoch",TRUE)</f>
        <v>275.75</v>
      </c>
      <c r="F102" s="3" cm="1">
        <f t="array" aca="1" ref="F102" ca="1">_FV(C102,"52-Wochen-Tief",TRUE)</f>
        <v>180.96</v>
      </c>
      <c r="G102" s="4">
        <f t="shared" ca="1" si="2"/>
        <v>0.61863065724232502</v>
      </c>
      <c r="H102" s="4">
        <f t="shared" ca="1" si="3"/>
        <v>0.23726131448464979</v>
      </c>
    </row>
    <row r="103" spans="1:8" x14ac:dyDescent="0.25">
      <c r="A103" t="s">
        <v>20</v>
      </c>
      <c r="B103" t="s">
        <v>21</v>
      </c>
      <c r="C103" t="e" vm="44">
        <v>#VALUE!</v>
      </c>
      <c r="D103" s="2" cm="1">
        <f t="array" aca="1" ref="D103" ca="1">_FV(C103,"Preis")</f>
        <v>72.44</v>
      </c>
      <c r="E103" s="2" cm="1">
        <f t="array" aca="1" ref="E103" ca="1">_FV(C103,"52-Wochen-Hoch",TRUE)</f>
        <v>73</v>
      </c>
      <c r="F103" s="2" cm="1">
        <f t="array" aca="1" ref="F103" ca="1">_FV(C103,"52-Wochen-Tief",TRUE)</f>
        <v>40.74</v>
      </c>
      <c r="G103" s="4">
        <f t="shared" ca="1" si="2"/>
        <v>0.98264104153750764</v>
      </c>
      <c r="H103" s="4">
        <f t="shared" ca="1" si="3"/>
        <v>0.96528208307501517</v>
      </c>
    </row>
    <row r="104" spans="1:8" x14ac:dyDescent="0.25">
      <c r="A104" t="s">
        <v>20</v>
      </c>
      <c r="B104" t="s">
        <v>21</v>
      </c>
      <c r="C104" t="e" vm="97">
        <v>#VALUE!</v>
      </c>
      <c r="D104" s="1" cm="1">
        <f t="array" aca="1" ref="D104" ca="1">_FV(C104,"Preis")</f>
        <v>139.8075</v>
      </c>
      <c r="E104" s="1" cm="1">
        <f t="array" aca="1" ref="E104" ca="1">_FV(C104,"52-Wochen-Hoch",TRUE)</f>
        <v>165.15</v>
      </c>
      <c r="F104" s="1" cm="1">
        <f t="array" aca="1" ref="F104" ca="1">_FV(C104,"52-Wochen-Tief",TRUE)</f>
        <v>95.31</v>
      </c>
      <c r="G104" s="4">
        <f t="shared" ca="1" si="2"/>
        <v>0.63713487972508587</v>
      </c>
      <c r="H104" s="4">
        <f t="shared" ca="1" si="3"/>
        <v>0.2742697594501714</v>
      </c>
    </row>
    <row r="105" spans="1:8" x14ac:dyDescent="0.25">
      <c r="A105" t="s">
        <v>20</v>
      </c>
      <c r="B105" t="s">
        <v>21</v>
      </c>
      <c r="C105" t="e" vm="98">
        <v>#VALUE!</v>
      </c>
      <c r="D105" s="1" cm="1">
        <f t="array" aca="1" ref="D105" ca="1">_FV(C105,"Preis")</f>
        <v>230.36</v>
      </c>
      <c r="E105" s="1" cm="1">
        <f t="array" aca="1" ref="E105" ca="1">_FV(C105,"52-Wochen-Hoch",TRUE)</f>
        <v>248.18</v>
      </c>
      <c r="F105" s="1" cm="1">
        <f t="array" aca="1" ref="F105" ca="1">_FV(C105,"52-Wochen-Tief",TRUE)</f>
        <v>181.0087</v>
      </c>
      <c r="G105" s="4">
        <f t="shared" ca="1" si="2"/>
        <v>0.73470812683393072</v>
      </c>
      <c r="H105" s="4">
        <f t="shared" ca="1" si="3"/>
        <v>0.46941625366786094</v>
      </c>
    </row>
    <row r="106" spans="1:8" x14ac:dyDescent="0.25">
      <c r="A106" t="s">
        <v>20</v>
      </c>
      <c r="B106" t="s">
        <v>21</v>
      </c>
      <c r="C106" t="e" vm="43">
        <v>#VALUE!</v>
      </c>
      <c r="D106" s="1" cm="1">
        <f t="array" aca="1" ref="D106" ca="1">_FV(C106,"Preis")</f>
        <v>392.32</v>
      </c>
      <c r="E106" s="1" cm="1">
        <f t="array" aca="1" ref="E106" ca="1">_FV(C106,"52-Wochen-Hoch",TRUE)</f>
        <v>408.45</v>
      </c>
      <c r="F106" s="1" cm="1">
        <f t="array" aca="1" ref="F106" ca="1">_FV(C106,"52-Wochen-Tief",TRUE)</f>
        <v>255.1</v>
      </c>
      <c r="G106" s="4">
        <f t="shared" ca="1" si="2"/>
        <v>0.89481578089338121</v>
      </c>
      <c r="H106" s="4">
        <f t="shared" ca="1" si="3"/>
        <v>0.78963156178676253</v>
      </c>
    </row>
    <row r="107" spans="1:8" x14ac:dyDescent="0.25">
      <c r="A107" t="s">
        <v>20</v>
      </c>
      <c r="B107" t="s">
        <v>21</v>
      </c>
      <c r="C107" t="e" vm="99">
        <v>#VALUE!</v>
      </c>
      <c r="D107" s="1" cm="1">
        <f t="array" aca="1" ref="D107" ca="1">_FV(C107,"Preis")</f>
        <v>19.614999999999998</v>
      </c>
      <c r="E107" s="1" cm="1">
        <f t="array" aca="1" ref="E107" ca="1">_FV(C107,"52-Wochen-Hoch",TRUE)</f>
        <v>23</v>
      </c>
      <c r="F107" s="1" cm="1">
        <f t="array" aca="1" ref="F107" ca="1">_FV(C107,"52-Wochen-Tief",TRUE)</f>
        <v>11.48</v>
      </c>
      <c r="G107" s="4">
        <f t="shared" ca="1" si="2"/>
        <v>0.70616319444444431</v>
      </c>
      <c r="H107" s="4">
        <f t="shared" ca="1" si="3"/>
        <v>0.41232638888888828</v>
      </c>
    </row>
    <row r="108" spans="1:8" x14ac:dyDescent="0.25">
      <c r="A108" t="s">
        <v>20</v>
      </c>
      <c r="B108" t="s">
        <v>22</v>
      </c>
      <c r="C108" t="e" vm="44">
        <v>#VALUE!</v>
      </c>
      <c r="D108" s="2" cm="1">
        <f t="array" aca="1" ref="D108" ca="1">_FV(C108,"Preis")</f>
        <v>72.44</v>
      </c>
      <c r="E108" s="2" cm="1">
        <f t="array" aca="1" ref="E108" ca="1">_FV(C108,"52-Wochen-Hoch",TRUE)</f>
        <v>73</v>
      </c>
      <c r="F108" s="2" cm="1">
        <f t="array" aca="1" ref="F108" ca="1">_FV(C108,"52-Wochen-Tief",TRUE)</f>
        <v>40.74</v>
      </c>
      <c r="G108" s="4">
        <f t="shared" ca="1" si="2"/>
        <v>0.98264104153750764</v>
      </c>
      <c r="H108" s="4">
        <f t="shared" ca="1" si="3"/>
        <v>0.96528208307501517</v>
      </c>
    </row>
    <row r="109" spans="1:8" x14ac:dyDescent="0.25">
      <c r="A109" t="s">
        <v>20</v>
      </c>
      <c r="B109" t="s">
        <v>22</v>
      </c>
      <c r="C109" t="e" vm="99">
        <v>#VALUE!</v>
      </c>
      <c r="D109" s="1" cm="1">
        <f t="array" aca="1" ref="D109" ca="1">_FV(C109,"Preis")</f>
        <v>19.614999999999998</v>
      </c>
      <c r="E109" s="1" cm="1">
        <f t="array" aca="1" ref="E109" ca="1">_FV(C109,"52-Wochen-Hoch",TRUE)</f>
        <v>23</v>
      </c>
      <c r="F109" s="1" cm="1">
        <f t="array" aca="1" ref="F109" ca="1">_FV(C109,"52-Wochen-Tief",TRUE)</f>
        <v>11.48</v>
      </c>
      <c r="G109" s="4">
        <f t="shared" ca="1" si="2"/>
        <v>0.70616319444444431</v>
      </c>
      <c r="H109" s="4">
        <f t="shared" ca="1" si="3"/>
        <v>0.41232638888888828</v>
      </c>
    </row>
    <row r="110" spans="1:8" x14ac:dyDescent="0.25">
      <c r="A110" t="s">
        <v>20</v>
      </c>
      <c r="B110" t="s">
        <v>22</v>
      </c>
      <c r="C110" t="e" vm="100">
        <v>#VALUE!</v>
      </c>
      <c r="D110" s="1" cm="1">
        <f t="array" aca="1" ref="D110" ca="1">_FV(C110,"Preis")</f>
        <v>362.29500000000002</v>
      </c>
      <c r="E110" s="1" cm="1">
        <f t="array" aca="1" ref="E110" ca="1">_FV(C110,"52-Wochen-Hoch",TRUE)</f>
        <v>373</v>
      </c>
      <c r="F110" s="1" cm="1">
        <f t="array" aca="1" ref="F110" ca="1">_FV(C110,"52-Wochen-Tief",TRUE)</f>
        <v>68.239999999999995</v>
      </c>
      <c r="G110" s="4">
        <f t="shared" ca="1" si="2"/>
        <v>0.96487399921249517</v>
      </c>
      <c r="H110" s="4">
        <f t="shared" ca="1" si="3"/>
        <v>0.92974799842499023</v>
      </c>
    </row>
    <row r="111" spans="1:8" x14ac:dyDescent="0.25">
      <c r="A111" t="s">
        <v>20</v>
      </c>
      <c r="B111" t="s">
        <v>22</v>
      </c>
      <c r="C111" t="e" vm="101">
        <v>#VALUE!</v>
      </c>
      <c r="D111" s="1" cm="1">
        <f t="array" aca="1" ref="D111" ca="1">_FV(C111,"Preis")</f>
        <v>59.305</v>
      </c>
      <c r="E111" s="1" cm="1">
        <f t="array" aca="1" ref="E111" ca="1">_FV(C111,"52-Wochen-Hoch",TRUE)</f>
        <v>87.88</v>
      </c>
      <c r="F111" s="1" cm="1">
        <f t="array" aca="1" ref="F111" ca="1">_FV(C111,"52-Wochen-Tief",TRUE)</f>
        <v>19.14</v>
      </c>
      <c r="G111" s="4">
        <f t="shared" ca="1" si="2"/>
        <v>0.58430317137038112</v>
      </c>
      <c r="H111" s="4">
        <f t="shared" ca="1" si="3"/>
        <v>0.16860634274076236</v>
      </c>
    </row>
    <row r="112" spans="1:8" x14ac:dyDescent="0.25">
      <c r="A112" t="s">
        <v>20</v>
      </c>
      <c r="B112" t="s">
        <v>22</v>
      </c>
      <c r="C112" t="e" vm="96">
        <v>#VALUE!</v>
      </c>
      <c r="D112" s="1" cm="1">
        <f t="array" aca="1" ref="D112" ca="1">_FV(C112,"Preis")</f>
        <v>401.32</v>
      </c>
      <c r="E112" s="1" cm="1">
        <f t="array" aca="1" ref="E112" ca="1">_FV(C112,"52-Wochen-Hoch",TRUE)</f>
        <v>438.72</v>
      </c>
      <c r="F112" s="1" cm="1">
        <f t="array" aca="1" ref="F112" ca="1">_FV(C112,"52-Wochen-Tief",TRUE)</f>
        <v>222.06</v>
      </c>
      <c r="G112" s="4">
        <f t="shared" ca="1" si="2"/>
        <v>0.82737930397858384</v>
      </c>
      <c r="H112" s="4">
        <f t="shared" ca="1" si="3"/>
        <v>0.65475860795716789</v>
      </c>
    </row>
    <row r="113" spans="1:8" x14ac:dyDescent="0.25">
      <c r="A113" t="s">
        <v>20</v>
      </c>
      <c r="B113" t="s">
        <v>22</v>
      </c>
      <c r="C113" t="e" vm="102">
        <v>#VALUE!</v>
      </c>
      <c r="D113" s="1" cm="1">
        <f t="array" aca="1" ref="D113" ca="1">_FV(C113,"Preis")</f>
        <v>233.09</v>
      </c>
      <c r="E113" s="1" cm="1">
        <f t="array" aca="1" ref="E113" ca="1">_FV(C113,"52-Wochen-Hoch",TRUE)</f>
        <v>352.66</v>
      </c>
      <c r="F113" s="1" cm="1">
        <f t="array" aca="1" ref="F113" ca="1">_FV(C113,"52-Wochen-Tief",TRUE)</f>
        <v>199.05</v>
      </c>
      <c r="G113" s="4">
        <f t="shared" ca="1" si="2"/>
        <v>0.22160015623982807</v>
      </c>
      <c r="H113" s="4">
        <f t="shared" ca="1" si="3"/>
        <v>-0.55679968752034392</v>
      </c>
    </row>
    <row r="114" spans="1:8" x14ac:dyDescent="0.25">
      <c r="A114" t="s">
        <v>20</v>
      </c>
      <c r="B114" t="s">
        <v>22</v>
      </c>
      <c r="C114" t="e" vm="103">
        <v>#VALUE!</v>
      </c>
      <c r="D114" s="1" cm="1">
        <f t="array" aca="1" ref="D114" ca="1">_FV(C114,"Preis")</f>
        <v>54.634999999999998</v>
      </c>
      <c r="E114" s="1" cm="1">
        <f t="array" aca="1" ref="E114" ca="1">_FV(C114,"52-Wochen-Hoch",TRUE)</f>
        <v>59.88</v>
      </c>
      <c r="F114" s="1" cm="1">
        <f t="array" aca="1" ref="F114" ca="1">_FV(C114,"52-Wochen-Tief",TRUE)</f>
        <v>22.85</v>
      </c>
      <c r="G114" s="4">
        <f t="shared" ca="1" si="2"/>
        <v>0.85835808803672686</v>
      </c>
      <c r="H114" s="4">
        <f t="shared" ca="1" si="3"/>
        <v>0.71671617607345373</v>
      </c>
    </row>
    <row r="115" spans="1:8" x14ac:dyDescent="0.25">
      <c r="A115" t="s">
        <v>20</v>
      </c>
      <c r="B115" t="s">
        <v>23</v>
      </c>
      <c r="C115" t="e" vm="104">
        <v>#VALUE!</v>
      </c>
      <c r="D115" s="1" cm="1">
        <f t="array" aca="1" ref="D115" ca="1">_FV(C115,"Preis")</f>
        <v>217.86</v>
      </c>
      <c r="E115" s="1" cm="1">
        <f t="array" aca="1" ref="E115" ca="1">_FV(C115,"52-Wochen-Hoch",TRUE)</f>
        <v>254.34989999999999</v>
      </c>
      <c r="F115" s="1" cm="1">
        <f t="array" aca="1" ref="F115" ca="1">_FV(C115,"52-Wochen-Tief",TRUE)</f>
        <v>153.54499999999999</v>
      </c>
      <c r="G115" s="4">
        <f t="shared" ca="1" si="2"/>
        <v>0.63801462032103617</v>
      </c>
      <c r="H115" s="4">
        <f t="shared" ca="1" si="3"/>
        <v>0.27602924064207218</v>
      </c>
    </row>
    <row r="116" spans="1:8" x14ac:dyDescent="0.25">
      <c r="A116" t="s">
        <v>20</v>
      </c>
      <c r="B116" t="s">
        <v>23</v>
      </c>
      <c r="C116" t="e" vm="105">
        <v>#VALUE!</v>
      </c>
      <c r="D116" s="1" cm="1">
        <f t="array" aca="1" ref="D116" ca="1">_FV(C116,"Preis")</f>
        <v>3.21</v>
      </c>
      <c r="E116" s="1" cm="1">
        <f t="array" aca="1" ref="E116" ca="1">_FV(C116,"52-Wochen-Hoch",TRUE)</f>
        <v>4.17</v>
      </c>
      <c r="F116" s="1" cm="1">
        <f t="array" aca="1" ref="F116" ca="1">_FV(C116,"52-Wochen-Tief",TRUE)</f>
        <v>2.5499999999999998</v>
      </c>
      <c r="G116" s="4">
        <f t="shared" ca="1" si="2"/>
        <v>0.4074074074074075</v>
      </c>
      <c r="H116" s="4">
        <f t="shared" ca="1" si="3"/>
        <v>-0.18518518518518506</v>
      </c>
    </row>
    <row r="117" spans="1:8" x14ac:dyDescent="0.25">
      <c r="A117" t="s">
        <v>20</v>
      </c>
      <c r="B117" t="s">
        <v>23</v>
      </c>
      <c r="C117" t="e" vm="106">
        <v>#VALUE!</v>
      </c>
      <c r="D117" s="1" cm="1">
        <f t="array" aca="1" ref="D117" ca="1">_FV(C117,"Preis")</f>
        <v>605.95000000000005</v>
      </c>
      <c r="E117" s="1" cm="1">
        <f t="array" aca="1" ref="E117" ca="1">_FV(C117,"52-Wochen-Hoch",TRUE)</f>
        <v>692</v>
      </c>
      <c r="F117" s="1" cm="1">
        <f t="array" aca="1" ref="F117" ca="1">_FV(C117,"52-Wochen-Tief",TRUE)</f>
        <v>410.11</v>
      </c>
      <c r="G117" s="4">
        <f t="shared" ca="1" si="2"/>
        <v>0.69473908262088058</v>
      </c>
      <c r="H117" s="4">
        <f t="shared" ca="1" si="3"/>
        <v>0.38947816524176088</v>
      </c>
    </row>
    <row r="118" spans="1:8" x14ac:dyDescent="0.25">
      <c r="A118" t="s">
        <v>20</v>
      </c>
      <c r="B118" t="s">
        <v>23</v>
      </c>
      <c r="C118" t="e" vm="107">
        <v>#VALUE!</v>
      </c>
      <c r="D118" s="1" cm="1">
        <f t="array" aca="1" ref="D118" ca="1">_FV(C118,"Preis")</f>
        <v>195.19499999999999</v>
      </c>
      <c r="E118" s="1" cm="1">
        <f t="array" aca="1" ref="E118" ca="1">_FV(C118,"52-Wochen-Hoch",TRUE)</f>
        <v>214.5</v>
      </c>
      <c r="F118" s="1" cm="1">
        <f t="array" aca="1" ref="F118" ca="1">_FV(C118,"52-Wochen-Tief",TRUE)</f>
        <v>112.63</v>
      </c>
      <c r="G118" s="4">
        <f t="shared" ca="1" si="2"/>
        <v>0.81049376656523009</v>
      </c>
      <c r="H118" s="4">
        <f t="shared" ca="1" si="3"/>
        <v>0.62098753313046029</v>
      </c>
    </row>
    <row r="119" spans="1:8" x14ac:dyDescent="0.25">
      <c r="A119" t="s">
        <v>20</v>
      </c>
      <c r="B119" t="s">
        <v>23</v>
      </c>
      <c r="C119" t="e" vm="108">
        <v>#VALUE!</v>
      </c>
      <c r="D119" s="1" cm="1">
        <f t="array" aca="1" ref="D119" ca="1">_FV(C119,"Preis")</f>
        <v>673.57</v>
      </c>
      <c r="E119" s="1" cm="1">
        <f t="array" aca="1" ref="E119" ca="1">_FV(C119,"52-Wochen-Hoch",TRUE)</f>
        <v>774</v>
      </c>
      <c r="F119" s="1" cm="1">
        <f t="array" aca="1" ref="F119" ca="1">_FV(C119,"52-Wochen-Tief",TRUE)</f>
        <v>450.13</v>
      </c>
      <c r="G119" s="4">
        <f t="shared" ca="1" si="2"/>
        <v>0.68990644394355771</v>
      </c>
      <c r="H119" s="4">
        <f t="shared" ca="1" si="3"/>
        <v>0.37981288788711515</v>
      </c>
    </row>
    <row r="120" spans="1:8" x14ac:dyDescent="0.25">
      <c r="A120" t="s">
        <v>20</v>
      </c>
      <c r="B120" t="s">
        <v>23</v>
      </c>
      <c r="C120" t="e" vm="109">
        <v>#VALUE!</v>
      </c>
      <c r="D120" s="1" cm="1">
        <f t="array" aca="1" ref="D120" ca="1">_FV(C120,"Preis")</f>
        <v>333.17</v>
      </c>
      <c r="E120" s="1" cm="1">
        <f t="array" aca="1" ref="E120" ca="1">_FV(C120,"52-Wochen-Hoch",TRUE)</f>
        <v>369.7</v>
      </c>
      <c r="F120" s="1" cm="1">
        <f t="array" aca="1" ref="F120" ca="1">_FV(C120,"52-Wochen-Tief",TRUE)</f>
        <v>262.83999999999997</v>
      </c>
      <c r="G120" s="4">
        <f t="shared" ca="1" si="2"/>
        <v>0.65815085158150877</v>
      </c>
      <c r="H120" s="4">
        <f t="shared" ca="1" si="3"/>
        <v>0.31630170316301764</v>
      </c>
    </row>
    <row r="121" spans="1:8" x14ac:dyDescent="0.25">
      <c r="A121" t="s">
        <v>20</v>
      </c>
      <c r="B121" t="s">
        <v>23</v>
      </c>
      <c r="C121" t="e" vm="110">
        <v>#VALUE!</v>
      </c>
      <c r="D121" s="3" cm="1">
        <f t="array" aca="1" ref="D121" ca="1">_FV(C121,"Preis")</f>
        <v>298.2</v>
      </c>
      <c r="E121" s="3" cm="1">
        <f t="array" aca="1" ref="E121" ca="1">_FV(C121,"52-Wochen-Hoch",TRUE)</f>
        <v>350.8</v>
      </c>
      <c r="F121" s="3" cm="1">
        <f t="array" aca="1" ref="F121" ca="1">_FV(C121,"52-Wochen-Tief",TRUE)</f>
        <v>206</v>
      </c>
      <c r="G121" s="4">
        <f t="shared" ca="1" si="2"/>
        <v>0.63674033149171261</v>
      </c>
      <c r="H121" s="4">
        <f t="shared" ca="1" si="3"/>
        <v>0.27348066298342555</v>
      </c>
    </row>
    <row r="122" spans="1:8" x14ac:dyDescent="0.25">
      <c r="A122" t="s">
        <v>20</v>
      </c>
      <c r="B122" t="s">
        <v>23</v>
      </c>
      <c r="C122" t="e" vm="111">
        <v>#VALUE!</v>
      </c>
      <c r="D122" s="1" cm="1">
        <f t="array" aca="1" ref="D122" ca="1">_FV(C122,"Preis")</f>
        <v>82.26</v>
      </c>
      <c r="E122" s="1" cm="1">
        <f t="array" aca="1" ref="E122" ca="1">_FV(C122,"52-Wochen-Hoch",TRUE)</f>
        <v>99.58</v>
      </c>
      <c r="F122" s="1" cm="1">
        <f t="array" aca="1" ref="F122" ca="1">_FV(C122,"52-Wochen-Tief",TRUE)</f>
        <v>18.21</v>
      </c>
      <c r="G122" s="4">
        <f t="shared" ca="1" si="2"/>
        <v>0.78714513948629727</v>
      </c>
      <c r="H122" s="4">
        <f t="shared" ca="1" si="3"/>
        <v>0.57429027897259455</v>
      </c>
    </row>
    <row r="123" spans="1:8" x14ac:dyDescent="0.25">
      <c r="A123" t="s">
        <v>20</v>
      </c>
      <c r="B123" t="s">
        <v>24</v>
      </c>
      <c r="C123" t="e" vm="106">
        <v>#VALUE!</v>
      </c>
      <c r="D123" s="1" cm="1">
        <f t="array" aca="1" ref="D123" ca="1">_FV(C123,"Preis")</f>
        <v>605.95000000000005</v>
      </c>
      <c r="E123" s="1" cm="1">
        <f t="array" aca="1" ref="E123" ca="1">_FV(C123,"52-Wochen-Hoch",TRUE)</f>
        <v>692</v>
      </c>
      <c r="F123" s="1" cm="1">
        <f t="array" aca="1" ref="F123" ca="1">_FV(C123,"52-Wochen-Tief",TRUE)</f>
        <v>410.11</v>
      </c>
      <c r="G123" s="4">
        <f t="shared" ca="1" si="2"/>
        <v>0.69473908262088058</v>
      </c>
      <c r="H123" s="4">
        <f t="shared" ca="1" si="3"/>
        <v>0.38947816524176088</v>
      </c>
    </row>
    <row r="124" spans="1:8" x14ac:dyDescent="0.25">
      <c r="A124" t="s">
        <v>20</v>
      </c>
      <c r="B124" t="s">
        <v>24</v>
      </c>
      <c r="C124" t="e" vm="108">
        <v>#VALUE!</v>
      </c>
      <c r="D124" s="1" cm="1">
        <f t="array" aca="1" ref="D124" ca="1">_FV(C124,"Preis")</f>
        <v>673.57</v>
      </c>
      <c r="E124" s="1" cm="1">
        <f t="array" aca="1" ref="E124" ca="1">_FV(C124,"52-Wochen-Hoch",TRUE)</f>
        <v>774</v>
      </c>
      <c r="F124" s="1" cm="1">
        <f t="array" aca="1" ref="F124" ca="1">_FV(C124,"52-Wochen-Tief",TRUE)</f>
        <v>450.13</v>
      </c>
      <c r="G124" s="4">
        <f t="shared" ca="1" si="2"/>
        <v>0.68990644394355771</v>
      </c>
      <c r="H124" s="4">
        <f t="shared" ca="1" si="3"/>
        <v>0.37981288788711515</v>
      </c>
    </row>
    <row r="125" spans="1:8" x14ac:dyDescent="0.25">
      <c r="A125" t="s">
        <v>20</v>
      </c>
      <c r="B125" t="s">
        <v>24</v>
      </c>
      <c r="C125" t="e" vm="107">
        <v>#VALUE!</v>
      </c>
      <c r="D125" s="1" cm="1">
        <f t="array" aca="1" ref="D125" ca="1">_FV(C125,"Preis")</f>
        <v>195.19499999999999</v>
      </c>
      <c r="E125" s="1" cm="1">
        <f t="array" aca="1" ref="E125" ca="1">_FV(C125,"52-Wochen-Hoch",TRUE)</f>
        <v>214.5</v>
      </c>
      <c r="F125" s="1" cm="1">
        <f t="array" aca="1" ref="F125" ca="1">_FV(C125,"52-Wochen-Tief",TRUE)</f>
        <v>112.63</v>
      </c>
      <c r="G125" s="4">
        <f t="shared" ca="1" si="2"/>
        <v>0.81049376656523009</v>
      </c>
      <c r="H125" s="4">
        <f t="shared" ca="1" si="3"/>
        <v>0.62098753313046029</v>
      </c>
    </row>
    <row r="126" spans="1:8" x14ac:dyDescent="0.25">
      <c r="A126" t="s">
        <v>20</v>
      </c>
      <c r="B126" t="s">
        <v>24</v>
      </c>
      <c r="C126" t="e" vm="109">
        <v>#VALUE!</v>
      </c>
      <c r="D126" s="1" cm="1">
        <f t="array" aca="1" ref="D126" ca="1">_FV(C126,"Preis")</f>
        <v>333.17</v>
      </c>
      <c r="E126" s="1" cm="1">
        <f t="array" aca="1" ref="E126" ca="1">_FV(C126,"52-Wochen-Hoch",TRUE)</f>
        <v>369.7</v>
      </c>
      <c r="F126" s="1" cm="1">
        <f t="array" aca="1" ref="F126" ca="1">_FV(C126,"52-Wochen-Tief",TRUE)</f>
        <v>262.83999999999997</v>
      </c>
      <c r="G126" s="4">
        <f t="shared" ca="1" si="2"/>
        <v>0.65815085158150877</v>
      </c>
      <c r="H126" s="4">
        <f t="shared" ca="1" si="3"/>
        <v>0.31630170316301764</v>
      </c>
    </row>
    <row r="127" spans="1:8" x14ac:dyDescent="0.25">
      <c r="A127" t="s">
        <v>20</v>
      </c>
      <c r="B127" t="s">
        <v>24</v>
      </c>
      <c r="C127" t="e" vm="112">
        <v>#VALUE!</v>
      </c>
      <c r="D127" s="1" cm="1">
        <f t="array" aca="1" ref="D127" ca="1">_FV(C127,"Preis")</f>
        <v>354.04250000000002</v>
      </c>
      <c r="E127" s="1" cm="1">
        <f t="array" aca="1" ref="E127" ca="1">_FV(C127,"52-Wochen-Hoch",TRUE)</f>
        <v>379.23</v>
      </c>
      <c r="F127" s="1" cm="1">
        <f t="array" aca="1" ref="F127" ca="1">_FV(C127,"52-Wochen-Tief",TRUE)</f>
        <v>208.11009999999999</v>
      </c>
      <c r="G127" s="4">
        <f t="shared" ca="1" si="2"/>
        <v>0.8528078849975953</v>
      </c>
      <c r="H127" s="4">
        <f t="shared" ca="1" si="3"/>
        <v>0.7056157699951906</v>
      </c>
    </row>
    <row r="128" spans="1:8" x14ac:dyDescent="0.25">
      <c r="A128" t="s">
        <v>20</v>
      </c>
      <c r="B128" t="s">
        <v>24</v>
      </c>
      <c r="C128" t="e" vm="104">
        <v>#VALUE!</v>
      </c>
      <c r="D128" s="1" cm="1">
        <f t="array" aca="1" ref="D128" ca="1">_FV(C128,"Preis")</f>
        <v>217.86</v>
      </c>
      <c r="E128" s="1" cm="1">
        <f t="array" aca="1" ref="E128" ca="1">_FV(C128,"52-Wochen-Hoch",TRUE)</f>
        <v>254.34989999999999</v>
      </c>
      <c r="F128" s="1" cm="1">
        <f t="array" aca="1" ref="F128" ca="1">_FV(C128,"52-Wochen-Tief",TRUE)</f>
        <v>153.54499999999999</v>
      </c>
      <c r="G128" s="4">
        <f t="shared" ca="1" si="2"/>
        <v>0.63801462032103617</v>
      </c>
      <c r="H128" s="4">
        <f t="shared" ca="1" si="3"/>
        <v>0.27602924064207218</v>
      </c>
    </row>
    <row r="129" spans="1:8" x14ac:dyDescent="0.25">
      <c r="A129" t="s">
        <v>20</v>
      </c>
      <c r="B129" t="s">
        <v>24</v>
      </c>
      <c r="C129" t="e" vm="113">
        <v>#VALUE!</v>
      </c>
      <c r="D129" s="1" cm="1">
        <f t="array" aca="1" ref="D129" ca="1">_FV(C129,"Preis")</f>
        <v>396.375</v>
      </c>
      <c r="E129" s="1" cm="1">
        <f t="array" aca="1" ref="E129" ca="1">_FV(C129,"52-Wochen-Hoch",TRUE)</f>
        <v>460</v>
      </c>
      <c r="F129" s="1" cm="1">
        <f t="array" aca="1" ref="F129" ca="1">_FV(C129,"52-Wochen-Tief",TRUE)</f>
        <v>211.49</v>
      </c>
      <c r="G129" s="4">
        <f t="shared" ca="1" si="2"/>
        <v>0.74397408554987721</v>
      </c>
      <c r="H129" s="4">
        <f t="shared" ca="1" si="3"/>
        <v>0.48794817109975452</v>
      </c>
    </row>
    <row r="130" spans="1:8" x14ac:dyDescent="0.25">
      <c r="A130" t="s">
        <v>25</v>
      </c>
      <c r="B130" t="s">
        <v>26</v>
      </c>
      <c r="C130" t="e" vm="114">
        <v>#VALUE!</v>
      </c>
      <c r="D130" s="1" cm="1">
        <f t="array" aca="1" ref="D130" ca="1">_FV(C130,"Preis")</f>
        <v>308.29500000000002</v>
      </c>
      <c r="E130" s="1" cm="1">
        <f t="array" aca="1" ref="E130" ca="1">_FV(C130,"52-Wochen-Hoch",TRUE)</f>
        <v>337.25</v>
      </c>
      <c r="F130" s="1" cm="1">
        <f t="array" aca="1" ref="F130" ca="1">_FV(C130,"52-Wochen-Tief",TRUE)</f>
        <v>226.33600000000001</v>
      </c>
      <c r="G130" s="4">
        <f t="shared" ca="1" si="2"/>
        <v>0.73894188290026519</v>
      </c>
      <c r="H130" s="4">
        <f t="shared" ca="1" si="3"/>
        <v>0.47788376580053038</v>
      </c>
    </row>
    <row r="131" spans="1:8" x14ac:dyDescent="0.25">
      <c r="A131" t="s">
        <v>25</v>
      </c>
      <c r="B131" t="s">
        <v>26</v>
      </c>
      <c r="C131" t="e" vm="115">
        <v>#VALUE!</v>
      </c>
      <c r="D131" s="1" cm="1">
        <f t="array" aca="1" ref="D131" ca="1">_FV(C131,"Preis")</f>
        <v>53.715000000000003</v>
      </c>
      <c r="E131" s="1" cm="1">
        <f t="array" aca="1" ref="E131" ca="1">_FV(C131,"52-Wochen-Hoch",TRUE)</f>
        <v>57.55</v>
      </c>
      <c r="F131" s="1" cm="1">
        <f t="array" aca="1" ref="F131" ca="1">_FV(C131,"52-Wochen-Tief",TRUE)</f>
        <v>36.494999999999997</v>
      </c>
      <c r="G131" s="4">
        <f t="shared" ref="G131:G170" ca="1" si="4">(D131-F131)/(E131-F131)</f>
        <v>0.81785799097601553</v>
      </c>
      <c r="H131" s="4">
        <f t="shared" ref="H131:H170" ca="1" si="5">IFERROR((D131-((E131+F131)/2))/((E131-F131)/2),"")</f>
        <v>0.63571598195203127</v>
      </c>
    </row>
    <row r="132" spans="1:8" x14ac:dyDescent="0.25">
      <c r="A132" t="s">
        <v>25</v>
      </c>
      <c r="B132" t="s">
        <v>26</v>
      </c>
      <c r="C132" t="e" vm="116">
        <v>#VALUE!</v>
      </c>
      <c r="D132" s="1" cm="1">
        <f t="array" aca="1" ref="D132" ca="1">_FV(C132,"Preis")</f>
        <v>81.495000000000005</v>
      </c>
      <c r="E132" s="1" cm="1">
        <f t="array" aca="1" ref="E132" ca="1">_FV(C132,"52-Wochen-Hoch",TRUE)</f>
        <v>97.76</v>
      </c>
      <c r="F132" s="1" cm="1">
        <f t="array" aca="1" ref="F132" ca="1">_FV(C132,"52-Wochen-Tief",TRUE)</f>
        <v>63.37</v>
      </c>
      <c r="G132" s="4">
        <f t="shared" ca="1" si="4"/>
        <v>0.52704274498400705</v>
      </c>
      <c r="H132" s="4">
        <f t="shared" ca="1" si="5"/>
        <v>5.4085489968014343E-2</v>
      </c>
    </row>
    <row r="133" spans="1:8" x14ac:dyDescent="0.25">
      <c r="A133" t="s">
        <v>25</v>
      </c>
      <c r="B133" t="s">
        <v>26</v>
      </c>
      <c r="C133" t="e" vm="117">
        <v>#VALUE!</v>
      </c>
      <c r="D133" s="1" cm="1">
        <f t="array" aca="1" ref="D133" ca="1">_FV(C133,"Preis")</f>
        <v>904.12</v>
      </c>
      <c r="E133" s="1" cm="1">
        <f t="array" aca="1" ref="E133" ca="1">_FV(C133,"52-Wochen-Hoch",TRUE)</f>
        <v>984.7</v>
      </c>
      <c r="F133" s="1" cm="1">
        <f t="array" aca="1" ref="F133" ca="1">_FV(C133,"52-Wochen-Tief",TRUE)</f>
        <v>492.69</v>
      </c>
      <c r="G133" s="4">
        <f t="shared" ca="1" si="4"/>
        <v>0.83622284099916666</v>
      </c>
      <c r="H133" s="4">
        <f t="shared" ca="1" si="5"/>
        <v>0.6724456819983331</v>
      </c>
    </row>
    <row r="134" spans="1:8" x14ac:dyDescent="0.25">
      <c r="A134" t="s">
        <v>25</v>
      </c>
      <c r="B134" t="s">
        <v>26</v>
      </c>
      <c r="C134" t="e" vm="118">
        <v>#VALUE!</v>
      </c>
      <c r="D134" s="1" cm="1">
        <f t="array" aca="1" ref="D134" ca="1">_FV(C134,"Preis")</f>
        <v>188.32</v>
      </c>
      <c r="E134" s="1" cm="1">
        <f t="array" aca="1" ref="E134" ca="1">_FV(C134,"52-Wochen-Hoch",TRUE)</f>
        <v>194.59</v>
      </c>
      <c r="F134" s="1" cm="1">
        <f t="array" aca="1" ref="F134" ca="1">_FV(C134,"52-Wochen-Tief",TRUE)</f>
        <v>104.78</v>
      </c>
      <c r="G134" s="4">
        <f t="shared" ca="1" si="4"/>
        <v>0.93018594811268218</v>
      </c>
      <c r="H134" s="4">
        <f t="shared" ca="1" si="5"/>
        <v>0.86037189622536447</v>
      </c>
    </row>
    <row r="135" spans="1:8" x14ac:dyDescent="0.25">
      <c r="A135" t="s">
        <v>25</v>
      </c>
      <c r="B135" t="s">
        <v>26</v>
      </c>
      <c r="C135" t="e" vm="119">
        <v>#VALUE!</v>
      </c>
      <c r="D135" s="1" cm="1">
        <f t="array" aca="1" ref="D135" ca="1">_FV(C135,"Preis")</f>
        <v>32.880000000000003</v>
      </c>
      <c r="E135" s="1" cm="1">
        <f t="array" aca="1" ref="E135" ca="1">_FV(C135,"52-Wochen-Hoch",TRUE)</f>
        <v>40.43</v>
      </c>
      <c r="F135" s="1" cm="1">
        <f t="array" aca="1" ref="F135" ca="1">_FV(C135,"52-Wochen-Tief",TRUE)</f>
        <v>22.99</v>
      </c>
      <c r="G135" s="4">
        <f t="shared" ca="1" si="4"/>
        <v>0.56708715596330295</v>
      </c>
      <c r="H135" s="4">
        <f t="shared" ca="1" si="5"/>
        <v>0.1341743119266057</v>
      </c>
    </row>
    <row r="136" spans="1:8" x14ac:dyDescent="0.25">
      <c r="A136" t="s">
        <v>25</v>
      </c>
      <c r="B136" t="s">
        <v>27</v>
      </c>
      <c r="C136" t="e" vm="120">
        <v>#VALUE!</v>
      </c>
      <c r="D136" s="1" cm="1">
        <f t="array" aca="1" ref="D136" ca="1">_FV(C136,"Preis")</f>
        <v>1014.26</v>
      </c>
      <c r="E136" s="1" cm="1">
        <f t="array" aca="1" ref="E136" ca="1">_FV(C136,"52-Wochen-Hoch",TRUE)</f>
        <v>1219.9399000000001</v>
      </c>
      <c r="F136" s="1" cm="1">
        <f t="array" aca="1" ref="F136" ca="1">_FV(C136,"52-Wochen-Tief",TRUE)</f>
        <v>845.82</v>
      </c>
      <c r="G136" s="4">
        <f t="shared" ca="1" si="4"/>
        <v>0.45022999311183376</v>
      </c>
      <c r="H136" s="4">
        <f t="shared" ca="1" si="5"/>
        <v>-9.9540013776332217E-2</v>
      </c>
    </row>
    <row r="137" spans="1:8" x14ac:dyDescent="0.25">
      <c r="A137" t="s">
        <v>25</v>
      </c>
      <c r="B137" t="s">
        <v>27</v>
      </c>
      <c r="C137" t="e" vm="121">
        <v>#VALUE!</v>
      </c>
      <c r="D137" s="1" cm="1">
        <f t="array" aca="1" ref="D137" ca="1">_FV(C137,"Preis")</f>
        <v>95.52</v>
      </c>
      <c r="E137" s="1" cm="1">
        <f t="array" aca="1" ref="E137" ca="1">_FV(C137,"52-Wochen-Hoch",TRUE)</f>
        <v>118.22</v>
      </c>
      <c r="F137" s="1" cm="1">
        <f t="array" aca="1" ref="F137" ca="1">_FV(C137,"52-Wochen-Tief",TRUE)</f>
        <v>82.861000000000004</v>
      </c>
      <c r="G137" s="4">
        <f t="shared" ca="1" si="4"/>
        <v>0.35801351848185736</v>
      </c>
      <c r="H137" s="4">
        <f t="shared" ca="1" si="5"/>
        <v>-0.28397296303628572</v>
      </c>
    </row>
    <row r="138" spans="1:8" x14ac:dyDescent="0.25">
      <c r="A138" t="s">
        <v>25</v>
      </c>
      <c r="B138" t="s">
        <v>27</v>
      </c>
      <c r="C138" t="e" vm="122">
        <v>#VALUE!</v>
      </c>
      <c r="D138" s="1" cm="1">
        <f t="array" aca="1" ref="D138" ca="1">_FV(C138,"Preis")</f>
        <v>128.30000000000001</v>
      </c>
      <c r="E138" s="1" cm="1">
        <f t="array" aca="1" ref="E138" ca="1">_FV(C138,"52-Wochen-Hoch",TRUE)</f>
        <v>190.08500000000001</v>
      </c>
      <c r="F138" s="1" cm="1">
        <f t="array" aca="1" ref="F138" ca="1">_FV(C138,"52-Wochen-Tief",TRUE)</f>
        <v>101.73</v>
      </c>
      <c r="G138" s="4">
        <f t="shared" ca="1" si="4"/>
        <v>0.30071869164167286</v>
      </c>
      <c r="H138" s="4">
        <f t="shared" ca="1" si="5"/>
        <v>-0.39856261671665411</v>
      </c>
    </row>
    <row r="139" spans="1:8" x14ac:dyDescent="0.25">
      <c r="A139" t="s">
        <v>25</v>
      </c>
      <c r="B139" t="s">
        <v>27</v>
      </c>
      <c r="C139" t="e" vm="123">
        <v>#VALUE!</v>
      </c>
      <c r="D139" s="1" cm="1">
        <f t="array" aca="1" ref="D139" ca="1">_FV(C139,"Preis")</f>
        <v>102.46</v>
      </c>
      <c r="E139" s="1" cm="1">
        <f t="array" aca="1" ref="E139" ca="1">_FV(C139,"52-Wochen-Hoch",TRUE)</f>
        <v>153.87</v>
      </c>
      <c r="F139" s="1" cm="1">
        <f t="array" aca="1" ref="F139" ca="1">_FV(C139,"52-Wochen-Tief",TRUE)</f>
        <v>82.67</v>
      </c>
      <c r="G139" s="4">
        <f t="shared" ca="1" si="4"/>
        <v>0.27794943820224705</v>
      </c>
      <c r="H139" s="4">
        <f t="shared" ca="1" si="5"/>
        <v>-0.44410112359550608</v>
      </c>
    </row>
    <row r="140" spans="1:8" x14ac:dyDescent="0.25">
      <c r="A140" t="s">
        <v>25</v>
      </c>
      <c r="B140" t="s">
        <v>27</v>
      </c>
      <c r="C140" t="e" vm="124">
        <v>#VALUE!</v>
      </c>
      <c r="D140" s="1" cm="1">
        <f t="array" aca="1" ref="D140" ca="1">_FV(C140,"Preis")</f>
        <v>121.79</v>
      </c>
      <c r="E140" s="1" cm="1">
        <f t="array" aca="1" ref="E140" ca="1">_FV(C140,"52-Wochen-Hoch",TRUE)</f>
        <v>157.28</v>
      </c>
      <c r="F140" s="1" cm="1">
        <f t="array" aca="1" ref="F140" ca="1">_FV(C140,"52-Wochen-Tief",TRUE)</f>
        <v>99.56</v>
      </c>
      <c r="G140" s="4">
        <f t="shared" ca="1" si="4"/>
        <v>0.3851351351351352</v>
      </c>
      <c r="H140" s="4">
        <f t="shared" ca="1" si="5"/>
        <v>-0.22972972972973008</v>
      </c>
    </row>
    <row r="141" spans="1:8" x14ac:dyDescent="0.25">
      <c r="A141" t="s">
        <v>25</v>
      </c>
      <c r="B141" t="s">
        <v>27</v>
      </c>
      <c r="C141" t="e" vm="125">
        <v>#VALUE!</v>
      </c>
      <c r="D141" s="1" cm="1">
        <f t="array" aca="1" ref="D141" ca="1">_FV(C141,"Preis")</f>
        <v>48.5</v>
      </c>
      <c r="E141" s="1" cm="1">
        <f t="array" aca="1" ref="E141" ca="1">_FV(C141,"52-Wochen-Hoch",TRUE)</f>
        <v>64.099999999999994</v>
      </c>
      <c r="F141" s="1" cm="1">
        <f t="array" aca="1" ref="F141" ca="1">_FV(C141,"52-Wochen-Tief",TRUE)</f>
        <v>42.2</v>
      </c>
      <c r="G141" s="4">
        <f t="shared" ca="1" si="4"/>
        <v>0.28767123287671231</v>
      </c>
      <c r="H141" s="4">
        <f t="shared" ca="1" si="5"/>
        <v>-0.42465753424657537</v>
      </c>
    </row>
    <row r="142" spans="1:8" x14ac:dyDescent="0.25">
      <c r="A142" t="s">
        <v>25</v>
      </c>
      <c r="B142" t="s">
        <v>27</v>
      </c>
      <c r="C142" t="e" vm="126">
        <v>#VALUE!</v>
      </c>
      <c r="D142" s="1" cm="1">
        <f t="array" aca="1" ref="D142" ca="1">_FV(C142,"Preis")</f>
        <v>94.08</v>
      </c>
      <c r="E142" s="1" cm="1">
        <f t="array" aca="1" ref="E142" ca="1">_FV(C142,"52-Wochen-Hoch",TRUE)</f>
        <v>107.5</v>
      </c>
      <c r="F142" s="1" cm="1">
        <f t="array" aca="1" ref="F142" ca="1">_FV(C142,"52-Wochen-Tief",TRUE)</f>
        <v>73.760000000000005</v>
      </c>
      <c r="G142" s="4">
        <f t="shared" ca="1" si="4"/>
        <v>0.60225251926496726</v>
      </c>
      <c r="H142" s="4">
        <f t="shared" ca="1" si="5"/>
        <v>0.20450503852993498</v>
      </c>
    </row>
    <row r="143" spans="1:8" x14ac:dyDescent="0.25">
      <c r="A143" t="s">
        <v>25</v>
      </c>
      <c r="B143" t="s">
        <v>28</v>
      </c>
      <c r="C143" t="e" vm="127">
        <v>#VALUE!</v>
      </c>
      <c r="D143" s="3" cm="1">
        <f t="array" aca="1" ref="D143" ca="1">_FV(C143,"Preis")</f>
        <v>958</v>
      </c>
      <c r="E143" s="3" cm="1">
        <f t="array" aca="1" ref="E143" ca="1">_FV(C143,"52-Wochen-Hoch",TRUE)</f>
        <v>1750.4</v>
      </c>
      <c r="F143" s="3" cm="1">
        <f t="array" aca="1" ref="F143" ca="1">_FV(C143,"52-Wochen-Tief",TRUE)</f>
        <v>824.4</v>
      </c>
      <c r="G143" s="4">
        <f t="shared" ca="1" si="4"/>
        <v>0.14427645788336935</v>
      </c>
      <c r="H143" s="4">
        <f t="shared" ca="1" si="5"/>
        <v>-0.71144708423326142</v>
      </c>
    </row>
    <row r="144" spans="1:8" x14ac:dyDescent="0.25">
      <c r="A144" t="s">
        <v>25</v>
      </c>
      <c r="B144" t="s">
        <v>28</v>
      </c>
      <c r="C144" t="e" vm="128">
        <v>#VALUE!</v>
      </c>
      <c r="D144" s="1" cm="1">
        <f t="array" aca="1" ref="D144" ca="1">_FV(C144,"Preis")</f>
        <v>49.575000000000003</v>
      </c>
      <c r="E144" s="1" cm="1">
        <f t="array" aca="1" ref="E144" ca="1">_FV(C144,"52-Wochen-Hoch",TRUE)</f>
        <v>79.5</v>
      </c>
      <c r="F144" s="1" cm="1">
        <f t="array" aca="1" ref="F144" ca="1">_FV(C144,"52-Wochen-Tief",TRUE)</f>
        <v>38.46</v>
      </c>
      <c r="G144" s="4">
        <f t="shared" ca="1" si="4"/>
        <v>0.27083333333333337</v>
      </c>
      <c r="H144" s="4">
        <f t="shared" ca="1" si="5"/>
        <v>-0.45833333333333343</v>
      </c>
    </row>
    <row r="145" spans="1:8" x14ac:dyDescent="0.25">
      <c r="A145" t="s">
        <v>25</v>
      </c>
      <c r="B145" t="s">
        <v>28</v>
      </c>
      <c r="C145" t="e" vm="129">
        <v>#VALUE!</v>
      </c>
      <c r="D145" s="1" cm="1">
        <f t="array" aca="1" ref="D145" ca="1">_FV(C145,"Preis")</f>
        <v>15.38</v>
      </c>
      <c r="E145" s="1" cm="1">
        <f t="array" aca="1" ref="E145" ca="1">_FV(C145,"52-Wochen-Hoch",TRUE)</f>
        <v>18.98</v>
      </c>
      <c r="F145" s="1" cm="1">
        <f t="array" aca="1" ref="F145" ca="1">_FV(C145,"52-Wochen-Tief",TRUE)</f>
        <v>10.55</v>
      </c>
      <c r="G145" s="4">
        <f t="shared" ca="1" si="4"/>
        <v>0.57295373665480431</v>
      </c>
      <c r="H145" s="4">
        <f t="shared" ca="1" si="5"/>
        <v>0.1459074733096086</v>
      </c>
    </row>
    <row r="146" spans="1:8" x14ac:dyDescent="0.25">
      <c r="A146" t="s">
        <v>25</v>
      </c>
      <c r="B146" t="s">
        <v>28</v>
      </c>
      <c r="C146" t="e" vm="130">
        <v>#VALUE!</v>
      </c>
      <c r="D146" s="1" cm="1">
        <f t="array" aca="1" ref="D146" ca="1">_FV(C146,"Preis")</f>
        <v>19.149999999999999</v>
      </c>
      <c r="E146" s="1" cm="1">
        <f t="array" aca="1" ref="E146" ca="1">_FV(C146,"52-Wochen-Hoch",TRUE)</f>
        <v>32.729999999999997</v>
      </c>
      <c r="F146" s="1" cm="1">
        <f t="array" aca="1" ref="F146" ca="1">_FV(C146,"52-Wochen-Tief",TRUE)</f>
        <v>10.41</v>
      </c>
      <c r="G146" s="4">
        <f t="shared" ca="1" si="4"/>
        <v>0.39157706093189965</v>
      </c>
      <c r="H146" s="4">
        <f t="shared" ca="1" si="5"/>
        <v>-0.2168458781362009</v>
      </c>
    </row>
    <row r="147" spans="1:8" x14ac:dyDescent="0.25">
      <c r="A147" t="s">
        <v>25</v>
      </c>
      <c r="B147" t="s">
        <v>28</v>
      </c>
      <c r="C147" t="e" vm="131">
        <v>#VALUE!</v>
      </c>
      <c r="D147" s="1" cm="1">
        <f t="array" aca="1" ref="D147" ca="1">_FV(C147,"Preis")</f>
        <v>60.01</v>
      </c>
      <c r="E147" s="1" cm="1">
        <f t="array" aca="1" ref="E147" ca="1">_FV(C147,"52-Wochen-Hoch",TRUE)</f>
        <v>100</v>
      </c>
      <c r="F147" s="1" cm="1">
        <f t="array" aca="1" ref="F147" ca="1">_FV(C147,"52-Wochen-Tief",TRUE)</f>
        <v>39.35</v>
      </c>
      <c r="G147" s="4">
        <f t="shared" ca="1" si="4"/>
        <v>0.3406430338004946</v>
      </c>
      <c r="H147" s="4">
        <f t="shared" ca="1" si="5"/>
        <v>-0.31871393239901069</v>
      </c>
    </row>
    <row r="148" spans="1:8" x14ac:dyDescent="0.25">
      <c r="A148" t="s">
        <v>25</v>
      </c>
      <c r="B148" t="s">
        <v>28</v>
      </c>
      <c r="C148" t="e" vm="132">
        <v>#VALUE!</v>
      </c>
      <c r="D148" s="1" cm="1">
        <f t="array" aca="1" ref="D148" ca="1">_FV(C148,"Preis")</f>
        <v>86.564999999999998</v>
      </c>
      <c r="E148" s="1" cm="1">
        <f t="array" aca="1" ref="E148" ca="1">_FV(C148,"52-Wochen-Hoch",TRUE)</f>
        <v>153.85990000000001</v>
      </c>
      <c r="F148" s="1" cm="1">
        <f t="array" aca="1" ref="F148" ca="1">_FV(C148,"52-Wochen-Tief",TRUE)</f>
        <v>39.21</v>
      </c>
      <c r="G148" s="4">
        <f t="shared" ca="1" si="4"/>
        <v>0.41304004626257845</v>
      </c>
      <c r="H148" s="4">
        <f t="shared" ca="1" si="5"/>
        <v>-0.17391990747484318</v>
      </c>
    </row>
    <row r="149" spans="1:8" x14ac:dyDescent="0.25">
      <c r="A149" t="s">
        <v>25</v>
      </c>
      <c r="B149" t="s">
        <v>28</v>
      </c>
      <c r="C149" t="e" vm="133">
        <v>#VALUE!</v>
      </c>
      <c r="D149" s="1" cm="1">
        <f t="array" aca="1" ref="D149" ca="1">_FV(C149,"Preis")</f>
        <v>11.172499999999999</v>
      </c>
      <c r="E149" s="1" cm="1">
        <f t="array" aca="1" ref="E149" ca="1">_FV(C149,"52-Wochen-Hoch",TRUE)</f>
        <v>19.940000000000001</v>
      </c>
      <c r="F149" s="1" cm="1">
        <f t="array" aca="1" ref="F149" ca="1">_FV(C149,"52-Wochen-Tief",TRUE)</f>
        <v>9.4499999999999993</v>
      </c>
      <c r="G149" s="4">
        <f t="shared" ca="1" si="4"/>
        <v>0.16420400381315536</v>
      </c>
      <c r="H149" s="4">
        <f t="shared" ca="1" si="5"/>
        <v>-0.67159199237368927</v>
      </c>
    </row>
    <row r="150" spans="1:8" x14ac:dyDescent="0.25">
      <c r="A150" t="s">
        <v>29</v>
      </c>
      <c r="B150" t="s">
        <v>30</v>
      </c>
      <c r="C150" t="e" vm="134">
        <v>#VALUE!</v>
      </c>
      <c r="D150" s="1" cm="1">
        <f t="array" aca="1" ref="D150" ca="1">_FV(C150,"Preis")</f>
        <v>142.83000000000001</v>
      </c>
      <c r="E150" s="1" cm="1">
        <f t="array" aca="1" ref="E150" ca="1">_FV(C150,"52-Wochen-Hoch",TRUE)</f>
        <v>171.65</v>
      </c>
      <c r="F150" s="1" cm="1">
        <f t="array" aca="1" ref="F150" ca="1">_FV(C150,"52-Wochen-Tief",TRUE)</f>
        <v>137.62</v>
      </c>
      <c r="G150" s="4">
        <f t="shared" ca="1" si="4"/>
        <v>0.15310020570085242</v>
      </c>
      <c r="H150" s="4">
        <f t="shared" ca="1" si="5"/>
        <v>-0.69379958859829438</v>
      </c>
    </row>
    <row r="151" spans="1:8" x14ac:dyDescent="0.25">
      <c r="A151" t="s">
        <v>29</v>
      </c>
      <c r="B151" t="s">
        <v>30</v>
      </c>
      <c r="C151" t="e" vm="135">
        <v>#VALUE!</v>
      </c>
      <c r="D151" s="1" cm="1">
        <f t="array" aca="1" ref="D151" ca="1">_FV(C151,"Preis")</f>
        <v>75.025000000000006</v>
      </c>
      <c r="E151" s="1" cm="1">
        <f t="array" aca="1" ref="E151" ca="1">_FV(C151,"52-Wochen-Hoch",TRUE)</f>
        <v>82</v>
      </c>
      <c r="F151" s="1" cm="1">
        <f t="array" aca="1" ref="F151" ca="1">_FV(C151,"52-Wochen-Tief",TRUE)</f>
        <v>65.353800000000007</v>
      </c>
      <c r="G151" s="4">
        <f t="shared" ca="1" si="4"/>
        <v>0.58098545013276326</v>
      </c>
      <c r="H151" s="4">
        <f t="shared" ca="1" si="5"/>
        <v>0.16197090026552641</v>
      </c>
    </row>
    <row r="152" spans="1:8" x14ac:dyDescent="0.25">
      <c r="A152" t="s">
        <v>29</v>
      </c>
      <c r="B152" t="s">
        <v>30</v>
      </c>
      <c r="C152" t="e" vm="136">
        <v>#VALUE!</v>
      </c>
      <c r="D152" s="1" cm="1">
        <f t="array" aca="1" ref="D152" ca="1">_FV(C152,"Preis")</f>
        <v>158.93</v>
      </c>
      <c r="E152" s="1" cm="1">
        <f t="array" aca="1" ref="E152" ca="1">_FV(C152,"52-Wochen-Hoch",TRUE)</f>
        <v>171.48</v>
      </c>
      <c r="F152" s="1" cm="1">
        <f t="array" aca="1" ref="F152" ca="1">_FV(C152,"52-Wochen-Tief",TRUE)</f>
        <v>127.6</v>
      </c>
      <c r="G152" s="4">
        <f t="shared" ca="1" si="4"/>
        <v>0.71399270738377429</v>
      </c>
      <c r="H152" s="4">
        <f t="shared" ca="1" si="5"/>
        <v>0.42798541476754859</v>
      </c>
    </row>
    <row r="153" spans="1:8" x14ac:dyDescent="0.25">
      <c r="A153" t="s">
        <v>29</v>
      </c>
      <c r="B153" t="s">
        <v>30</v>
      </c>
      <c r="C153" t="e" vm="137">
        <v>#VALUE!</v>
      </c>
      <c r="D153" s="1" cm="1">
        <f t="array" aca="1" ref="D153" ca="1">_FV(C153,"Preis")</f>
        <v>125.41</v>
      </c>
      <c r="E153" s="1" cm="1">
        <f t="array" aca="1" ref="E153" ca="1">_FV(C153,"52-Wochen-Hoch",TRUE)</f>
        <v>134.69</v>
      </c>
      <c r="F153" s="1" cm="1">
        <f t="array" aca="1" ref="F153" ca="1">_FV(C153,"52-Wochen-Tief",TRUE)</f>
        <v>90.61</v>
      </c>
      <c r="G153" s="4">
        <f t="shared" ca="1" si="4"/>
        <v>0.78947368421052633</v>
      </c>
      <c r="H153" s="4">
        <f t="shared" ca="1" si="5"/>
        <v>0.57894736842105221</v>
      </c>
    </row>
    <row r="154" spans="1:8" x14ac:dyDescent="0.25">
      <c r="A154" t="s">
        <v>29</v>
      </c>
      <c r="B154" t="s">
        <v>30</v>
      </c>
      <c r="C154" t="e" vm="138">
        <v>#VALUE!</v>
      </c>
      <c r="D154" s="1" cm="1">
        <f t="array" aca="1" ref="D154" ca="1">_FV(C154,"Preis")</f>
        <v>987.72</v>
      </c>
      <c r="E154" s="1" cm="1">
        <f t="array" aca="1" ref="E154" ca="1">_FV(C154,"52-Wochen-Hoch",TRUE)</f>
        <v>1067.08</v>
      </c>
      <c r="F154" s="1" cm="1">
        <f t="array" aca="1" ref="F154" ca="1">_FV(C154,"52-Wochen-Tief",TRUE)</f>
        <v>844.06</v>
      </c>
      <c r="G154" s="4">
        <f t="shared" ca="1" si="4"/>
        <v>0.64415747466594964</v>
      </c>
      <c r="H154" s="4">
        <f t="shared" ca="1" si="5"/>
        <v>0.28831494933189933</v>
      </c>
    </row>
    <row r="155" spans="1:8" x14ac:dyDescent="0.25">
      <c r="A155" t="s">
        <v>29</v>
      </c>
      <c r="B155" t="s">
        <v>30</v>
      </c>
      <c r="C155" t="e" vm="139">
        <v>#VALUE!</v>
      </c>
      <c r="D155" s="1" cm="1">
        <f t="array" aca="1" ref="D155" ca="1">_FV(C155,"Preis")</f>
        <v>56.844999999999999</v>
      </c>
      <c r="E155" s="1" cm="1">
        <f t="array" aca="1" ref="E155" ca="1">_FV(C155,"52-Wochen-Hoch",TRUE)</f>
        <v>71.150000000000006</v>
      </c>
      <c r="F155" s="1" cm="1">
        <f t="array" aca="1" ref="F155" ca="1">_FV(C155,"52-Wochen-Tief",TRUE)</f>
        <v>51.200800000000001</v>
      </c>
      <c r="G155" s="4">
        <f t="shared" ca="1" si="4"/>
        <v>0.28292863874240554</v>
      </c>
      <c r="H155" s="4">
        <f t="shared" ca="1" si="5"/>
        <v>-0.43414272251518893</v>
      </c>
    </row>
    <row r="156" spans="1:8" x14ac:dyDescent="0.25">
      <c r="A156" t="s">
        <v>29</v>
      </c>
      <c r="B156" t="s">
        <v>30</v>
      </c>
      <c r="C156" t="e" vm="140">
        <v>#VALUE!</v>
      </c>
      <c r="D156" s="2" cm="1">
        <f t="array" aca="1" ref="D156" ca="1">_FV(C156,"Preis")</f>
        <v>78.739999999999995</v>
      </c>
      <c r="E156" s="2" cm="1">
        <f t="array" aca="1" ref="E156" ca="1">_FV(C156,"52-Wochen-Hoch",TRUE)</f>
        <v>89.43</v>
      </c>
      <c r="F156" s="2" cm="1">
        <f t="array" aca="1" ref="F156" ca="1">_FV(C156,"52-Wochen-Tief",TRUE)</f>
        <v>69.900000000000006</v>
      </c>
      <c r="G156" s="4">
        <f t="shared" ca="1" si="4"/>
        <v>0.45263696876600046</v>
      </c>
      <c r="H156" s="4">
        <f t="shared" ca="1" si="5"/>
        <v>-9.4726062467999111E-2</v>
      </c>
    </row>
    <row r="157" spans="1:8" x14ac:dyDescent="0.25">
      <c r="A157" t="s">
        <v>29</v>
      </c>
      <c r="B157" t="s">
        <v>31</v>
      </c>
      <c r="C157" t="e" vm="16">
        <v>#VALUE!</v>
      </c>
      <c r="D157" s="1" cm="1">
        <f t="array" aca="1" ref="D157" ca="1">_FV(C157,"Preis")</f>
        <v>249.37</v>
      </c>
      <c r="E157" s="1" cm="1">
        <f t="array" aca="1" ref="E157" ca="1">_FV(C157,"52-Wochen-Hoch",TRUE)</f>
        <v>258.60000000000002</v>
      </c>
      <c r="F157" s="1" cm="1">
        <f t="array" aca="1" ref="F157" ca="1">_FV(C157,"52-Wochen-Tief",TRUE)</f>
        <v>165.285</v>
      </c>
      <c r="G157" s="4">
        <f t="shared" ca="1" si="4"/>
        <v>0.90108771365803986</v>
      </c>
      <c r="H157" s="4">
        <f t="shared" ca="1" si="5"/>
        <v>0.80217542731607994</v>
      </c>
    </row>
    <row r="158" spans="1:8" x14ac:dyDescent="0.25">
      <c r="A158" t="s">
        <v>29</v>
      </c>
      <c r="B158" t="s">
        <v>31</v>
      </c>
      <c r="C158" t="e" vm="141">
        <v>#VALUE!</v>
      </c>
      <c r="D158" s="1" cm="1">
        <f t="array" aca="1" ref="D158" ca="1">_FV(C158,"Preis")</f>
        <v>388.31</v>
      </c>
      <c r="E158" s="1" cm="1">
        <f t="array" aca="1" ref="E158" ca="1">_FV(C158,"52-Wochen-Hoch",TRUE)</f>
        <v>498.83</v>
      </c>
      <c r="F158" s="1" cm="1">
        <f t="array" aca="1" ref="F158" ca="1">_FV(C158,"52-Wochen-Tief",TRUE)</f>
        <v>222.79</v>
      </c>
      <c r="G158" s="4">
        <f t="shared" ca="1" si="4"/>
        <v>0.59962324300825975</v>
      </c>
      <c r="H158" s="4">
        <f t="shared" ca="1" si="5"/>
        <v>0.19924648601651937</v>
      </c>
    </row>
    <row r="159" spans="1:8" x14ac:dyDescent="0.25">
      <c r="A159" t="s">
        <v>29</v>
      </c>
      <c r="B159" t="s">
        <v>31</v>
      </c>
      <c r="C159" t="e" vm="142">
        <v>#VALUE!</v>
      </c>
      <c r="D159" s="1" cm="1">
        <f t="array" aca="1" ref="D159" ca="1">_FV(C159,"Preis")</f>
        <v>337.69</v>
      </c>
      <c r="E159" s="1" cm="1">
        <f t="array" aca="1" ref="E159" ca="1">_FV(C159,"52-Wochen-Hoch",TRUE)</f>
        <v>426.75</v>
      </c>
      <c r="F159" s="1" cm="1">
        <f t="array" aca="1" ref="F159" ca="1">_FV(C159,"52-Wochen-Tief",TRUE)</f>
        <v>315.31</v>
      </c>
      <c r="G159" s="4">
        <f t="shared" ca="1" si="4"/>
        <v>0.20082555635319452</v>
      </c>
      <c r="H159" s="4">
        <f t="shared" ca="1" si="5"/>
        <v>-0.59834888729361047</v>
      </c>
    </row>
    <row r="160" spans="1:8" x14ac:dyDescent="0.25">
      <c r="A160" t="s">
        <v>29</v>
      </c>
      <c r="B160" t="s">
        <v>31</v>
      </c>
      <c r="C160" t="e" vm="143">
        <v>#VALUE!</v>
      </c>
      <c r="D160" s="1" cm="1">
        <f t="array" aca="1" ref="D160" ca="1">_FV(C160,"Preis")</f>
        <v>307.39999999999998</v>
      </c>
      <c r="E160" s="1" cm="1">
        <f t="array" aca="1" ref="E160" ca="1">_FV(C160,"52-Wochen-Hoch",TRUE)</f>
        <v>341.75</v>
      </c>
      <c r="F160" s="1" cm="1">
        <f t="array" aca="1" ref="F160" ca="1">_FV(C160,"52-Wochen-Tief",TRUE)</f>
        <v>283.47000000000003</v>
      </c>
      <c r="G160" s="4">
        <f t="shared" ca="1" si="4"/>
        <v>0.41060398078242899</v>
      </c>
      <c r="H160" s="4">
        <f t="shared" ca="1" si="5"/>
        <v>-0.17879203843514202</v>
      </c>
    </row>
    <row r="161" spans="1:8" x14ac:dyDescent="0.25">
      <c r="A161" t="s">
        <v>29</v>
      </c>
      <c r="B161" t="s">
        <v>31</v>
      </c>
      <c r="C161" t="e" vm="144">
        <v>#VALUE!</v>
      </c>
      <c r="D161" s="1" cm="1">
        <f t="array" aca="1" ref="D161" ca="1">_FV(C161,"Preis")</f>
        <v>46.094999999999999</v>
      </c>
      <c r="E161" s="1" cm="1">
        <f t="array" aca="1" ref="E161" ca="1">_FV(C161,"52-Wochen-Hoch",TRUE)</f>
        <v>80.165000000000006</v>
      </c>
      <c r="F161" s="1" cm="1">
        <f t="array" aca="1" ref="F161" ca="1">_FV(C161,"52-Wochen-Tief",TRUE)</f>
        <v>42.09</v>
      </c>
      <c r="G161" s="4">
        <f t="shared" ca="1" si="4"/>
        <v>0.10518713066316468</v>
      </c>
      <c r="H161" s="4">
        <f t="shared" ca="1" si="5"/>
        <v>-0.7896257386736707</v>
      </c>
    </row>
    <row r="162" spans="1:8" x14ac:dyDescent="0.25">
      <c r="A162" t="s">
        <v>29</v>
      </c>
      <c r="B162" t="s">
        <v>31</v>
      </c>
      <c r="C162" t="e" vm="145">
        <v>#VALUE!</v>
      </c>
      <c r="D162" s="1" cm="1">
        <f t="array" aca="1" ref="D162" ca="1">_FV(C162,"Preis")</f>
        <v>97.96</v>
      </c>
      <c r="E162" s="1" cm="1">
        <f t="array" aca="1" ref="E162" ca="1">_FV(C162,"52-Wochen-Hoch",TRUE)</f>
        <v>104.82</v>
      </c>
      <c r="F162" s="1" cm="1">
        <f t="array" aca="1" ref="F162" ca="1">_FV(C162,"52-Wochen-Tief",TRUE)</f>
        <v>75.5</v>
      </c>
      <c r="G162" s="4">
        <f t="shared" ca="1" si="4"/>
        <v>0.76603001364256473</v>
      </c>
      <c r="H162" s="4">
        <f t="shared" ca="1" si="5"/>
        <v>0.53206002728512958</v>
      </c>
    </row>
    <row r="163" spans="1:8" x14ac:dyDescent="0.25">
      <c r="A163" t="s">
        <v>29</v>
      </c>
      <c r="B163" t="s">
        <v>31</v>
      </c>
      <c r="C163" t="e" vm="146">
        <v>#VALUE!</v>
      </c>
      <c r="D163" s="1" cm="1">
        <f t="array" aca="1" ref="D163" ca="1">_FV(C163,"Preis")</f>
        <v>186.41</v>
      </c>
      <c r="E163" s="1" cm="1">
        <f t="array" aca="1" ref="E163" ca="1">_FV(C163,"52-Wochen-Hoch",TRUE)</f>
        <v>233.57650000000001</v>
      </c>
      <c r="F163" s="1" cm="1">
        <f t="array" aca="1" ref="F163" ca="1">_FV(C163,"52-Wochen-Tief",TRUE)</f>
        <v>150.61799999999999</v>
      </c>
      <c r="G163" s="4">
        <f t="shared" ca="1" si="4"/>
        <v>0.43144463798164134</v>
      </c>
      <c r="H163" s="4">
        <f t="shared" ca="1" si="5"/>
        <v>-0.13711072403671729</v>
      </c>
    </row>
    <row r="164" spans="1:8" x14ac:dyDescent="0.25">
      <c r="A164" t="s">
        <v>29</v>
      </c>
      <c r="B164" t="s">
        <v>32</v>
      </c>
      <c r="C164" t="e" vm="16">
        <v>#VALUE!</v>
      </c>
      <c r="D164" s="1" cm="1">
        <f t="array" aca="1" ref="D164" ca="1">_FV(C164,"Preis")</f>
        <v>249.37</v>
      </c>
      <c r="E164" s="1" cm="1">
        <f t="array" aca="1" ref="E164" ca="1">_FV(C164,"52-Wochen-Hoch",TRUE)</f>
        <v>258.60000000000002</v>
      </c>
      <c r="F164" s="1" cm="1">
        <f t="array" aca="1" ref="F164" ca="1">_FV(C164,"52-Wochen-Tief",TRUE)</f>
        <v>165.285</v>
      </c>
      <c r="G164" s="4">
        <f t="shared" ca="1" si="4"/>
        <v>0.90108771365803986</v>
      </c>
      <c r="H164" s="4">
        <f t="shared" ca="1" si="5"/>
        <v>0.80217542731607994</v>
      </c>
    </row>
    <row r="165" spans="1:8" x14ac:dyDescent="0.25">
      <c r="A165" t="s">
        <v>29</v>
      </c>
      <c r="B165" t="s">
        <v>32</v>
      </c>
      <c r="C165" t="e" vm="147">
        <v>#VALUE!</v>
      </c>
      <c r="D165" s="1" cm="1">
        <f t="array" aca="1" ref="D165" ca="1">_FV(C165,"Preis")</f>
        <v>139.066</v>
      </c>
      <c r="E165" s="1" cm="1">
        <f t="array" aca="1" ref="E165" ca="1">_FV(C165,"52-Wochen-Hoch",TRUE)</f>
        <v>192.67</v>
      </c>
      <c r="F165" s="1" cm="1">
        <f t="array" aca="1" ref="F165" ca="1">_FV(C165,"52-Wochen-Tief",TRUE)</f>
        <v>103.71</v>
      </c>
      <c r="G165" s="4">
        <f t="shared" ca="1" si="4"/>
        <v>0.39743705035971233</v>
      </c>
      <c r="H165" s="4">
        <f t="shared" ca="1" si="5"/>
        <v>-0.20512589928057545</v>
      </c>
    </row>
    <row r="166" spans="1:8" x14ac:dyDescent="0.25">
      <c r="A166" t="s">
        <v>29</v>
      </c>
      <c r="B166" t="s">
        <v>32</v>
      </c>
      <c r="C166" t="e" vm="148">
        <v>#VALUE!</v>
      </c>
      <c r="D166" s="1" cm="1">
        <f t="array" aca="1" ref="D166" ca="1">_FV(C166,"Preis")</f>
        <v>1838.81</v>
      </c>
      <c r="E166" s="1" cm="1">
        <f t="array" aca="1" ref="E166" ca="1">_FV(C166,"52-Wochen-Hoch",TRUE)</f>
        <v>2645.22</v>
      </c>
      <c r="F166" s="1" cm="1">
        <f t="array" aca="1" ref="F166" ca="1">_FV(C166,"52-Wochen-Tief",TRUE)</f>
        <v>1593.21</v>
      </c>
      <c r="G166" s="4">
        <f t="shared" ca="1" si="4"/>
        <v>0.23345785686447845</v>
      </c>
      <c r="H166" s="4">
        <f t="shared" ca="1" si="5"/>
        <v>-0.53308428627104354</v>
      </c>
    </row>
    <row r="167" spans="1:8" x14ac:dyDescent="0.25">
      <c r="A167" t="s">
        <v>29</v>
      </c>
      <c r="B167" t="s">
        <v>32</v>
      </c>
      <c r="C167" t="e" vm="149">
        <v>#VALUE!</v>
      </c>
      <c r="D167" s="1" cm="1">
        <f t="array" aca="1" ref="D167" ca="1">_FV(C167,"Preis")</f>
        <v>31.52</v>
      </c>
      <c r="E167" s="1" cm="1">
        <f t="array" aca="1" ref="E167" ca="1">_FV(C167,"52-Wochen-Hoch",TRUE)</f>
        <v>38.08</v>
      </c>
      <c r="F167" s="1" cm="1">
        <f t="array" aca="1" ref="F167" ca="1">_FV(C167,"52-Wochen-Tief",TRUE)</f>
        <v>24.507999999999999</v>
      </c>
      <c r="G167" s="4">
        <f t="shared" ca="1" si="4"/>
        <v>0.51665193044503399</v>
      </c>
      <c r="H167" s="4">
        <f t="shared" ca="1" si="5"/>
        <v>3.3303860890068177E-2</v>
      </c>
    </row>
    <row r="168" spans="1:8" x14ac:dyDescent="0.25">
      <c r="A168" t="s">
        <v>29</v>
      </c>
      <c r="B168" t="s">
        <v>32</v>
      </c>
      <c r="C168" t="e" vm="150">
        <v>#VALUE!</v>
      </c>
      <c r="D168" s="1" cm="1">
        <f t="array" aca="1" ref="D168" ca="1">_FV(C168,"Preis")</f>
        <v>128.36500000000001</v>
      </c>
      <c r="E168" s="1" cm="1">
        <f t="array" aca="1" ref="E168" ca="1">_FV(C168,"52-Wochen-Hoch",TRUE)</f>
        <v>182.19</v>
      </c>
      <c r="F168" s="1" cm="1">
        <f t="array" aca="1" ref="F168" ca="1">_FV(C168,"52-Wochen-Tief",TRUE)</f>
        <v>80.349999999999994</v>
      </c>
      <c r="G168" s="4">
        <f t="shared" ca="1" si="4"/>
        <v>0.47147486252945808</v>
      </c>
      <c r="H168" s="4">
        <f t="shared" ca="1" si="5"/>
        <v>-5.7050274941083515E-2</v>
      </c>
    </row>
    <row r="169" spans="1:8" x14ac:dyDescent="0.25">
      <c r="A169" t="s">
        <v>29</v>
      </c>
      <c r="B169" t="s">
        <v>32</v>
      </c>
      <c r="C169" t="e" vm="151">
        <v>#VALUE!</v>
      </c>
      <c r="D169" s="1" cm="1">
        <f t="array" aca="1" ref="D169" ca="1">_FV(C169,"Preis")</f>
        <v>60.22</v>
      </c>
      <c r="E169" s="1" cm="1">
        <f t="array" aca="1" ref="E169" ca="1">_FV(C169,"52-Wochen-Hoch",TRUE)</f>
        <v>76.515000000000001</v>
      </c>
      <c r="F169" s="1" cm="1">
        <f t="array" aca="1" ref="F169" ca="1">_FV(C169,"52-Wochen-Tief",TRUE)</f>
        <v>41.505000000000003</v>
      </c>
      <c r="G169" s="4">
        <f t="shared" ca="1" si="4"/>
        <v>0.53456155384175941</v>
      </c>
      <c r="H169" s="4">
        <f t="shared" ca="1" si="5"/>
        <v>6.9123107683518648E-2</v>
      </c>
    </row>
    <row r="170" spans="1:8" x14ac:dyDescent="0.25">
      <c r="A170" t="s">
        <v>29</v>
      </c>
      <c r="B170" t="s">
        <v>32</v>
      </c>
      <c r="C170" t="e" vm="152">
        <v>#VALUE!</v>
      </c>
      <c r="D170" s="1" cm="1">
        <f t="array" aca="1" ref="D170" ca="1">_FV(C170,"Preis")</f>
        <v>90.97</v>
      </c>
      <c r="E170" s="1" cm="1">
        <f t="array" aca="1" ref="E170" ca="1">_FV(C170,"52-Wochen-Hoch",TRUE)</f>
        <v>199.3</v>
      </c>
      <c r="F170" s="1" cm="1">
        <f t="array" aca="1" ref="F170" ca="1">_FV(C170,"52-Wochen-Tief",TRUE)</f>
        <v>77.05</v>
      </c>
      <c r="G170" s="4">
        <f t="shared" ca="1" si="4"/>
        <v>0.11386503067484663</v>
      </c>
      <c r="H170" s="4">
        <f t="shared" ca="1" si="5"/>
        <v>-0.77226993865030691</v>
      </c>
    </row>
  </sheetData>
  <phoneticPr fontId="1" type="noConversion"/>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B1C54-6CF2-4108-9142-5FFA1ACCD84A}">
  <dimension ref="A3:D28"/>
  <sheetViews>
    <sheetView workbookViewId="0">
      <selection activeCell="F9" sqref="F9"/>
    </sheetView>
  </sheetViews>
  <sheetFormatPr baseColWidth="10" defaultRowHeight="15" x14ac:dyDescent="0.25"/>
  <cols>
    <col min="1" max="1" width="22.7109375" bestFit="1" customWidth="1"/>
    <col min="2" max="2" width="25.42578125" bestFit="1" customWidth="1"/>
    <col min="3" max="3" width="25" bestFit="1" customWidth="1"/>
  </cols>
  <sheetData>
    <row r="3" spans="1:4" x14ac:dyDescent="0.25">
      <c r="A3" s="5" t="s">
        <v>37</v>
      </c>
      <c r="B3" t="s">
        <v>39</v>
      </c>
      <c r="C3" t="s">
        <v>42</v>
      </c>
      <c r="D3" t="s">
        <v>40</v>
      </c>
    </row>
    <row r="4" spans="1:4" x14ac:dyDescent="0.25">
      <c r="A4" s="6" t="s">
        <v>4</v>
      </c>
      <c r="B4" s="4">
        <v>0.91324937276019758</v>
      </c>
      <c r="C4" s="4">
        <v>0.82649874552039504</v>
      </c>
      <c r="D4" t="str">
        <f>IF(B4&gt;0.7,"Bullisch",IF(B4&gt;0.5,"Neutral","Bärisch"))</f>
        <v>Bullisch</v>
      </c>
    </row>
    <row r="5" spans="1:4" x14ac:dyDescent="0.25">
      <c r="A5" s="6" t="s">
        <v>11</v>
      </c>
      <c r="B5" s="4">
        <v>0.84715370549430757</v>
      </c>
      <c r="C5" s="4">
        <v>0.69430741098861515</v>
      </c>
      <c r="D5" t="str">
        <f t="shared" ref="D5:D28" si="0">IF(B5&gt;0.7,"Bullisch",IF(B5&gt;0.5,"Neutral","Bärisch"))</f>
        <v>Bullisch</v>
      </c>
    </row>
    <row r="6" spans="1:4" x14ac:dyDescent="0.25">
      <c r="A6" s="6" t="s">
        <v>7</v>
      </c>
      <c r="B6" s="4">
        <v>0.8351554780814171</v>
      </c>
      <c r="C6" s="4">
        <v>0.67031095616283409</v>
      </c>
      <c r="D6" t="str">
        <f t="shared" si="0"/>
        <v>Bullisch</v>
      </c>
    </row>
    <row r="7" spans="1:4" x14ac:dyDescent="0.25">
      <c r="A7" s="6" t="s">
        <v>5</v>
      </c>
      <c r="B7" s="4">
        <v>0.82880504055045734</v>
      </c>
      <c r="C7" s="4">
        <v>0.65761008110091479</v>
      </c>
      <c r="D7" t="str">
        <f t="shared" si="0"/>
        <v>Bullisch</v>
      </c>
    </row>
    <row r="8" spans="1:4" x14ac:dyDescent="0.25">
      <c r="A8" s="6" t="s">
        <v>21</v>
      </c>
      <c r="B8" s="4">
        <v>0.77197202799867415</v>
      </c>
      <c r="C8" s="4">
        <v>0.5439440559973483</v>
      </c>
      <c r="D8" t="str">
        <f t="shared" si="0"/>
        <v>Bullisch</v>
      </c>
    </row>
    <row r="9" spans="1:4" x14ac:dyDescent="0.25">
      <c r="A9" s="6" t="s">
        <v>9</v>
      </c>
      <c r="B9" s="4">
        <v>0.76580966438873088</v>
      </c>
      <c r="C9" s="4">
        <v>0.53161932877746199</v>
      </c>
      <c r="D9" t="str">
        <f t="shared" si="0"/>
        <v>Bullisch</v>
      </c>
    </row>
    <row r="10" spans="1:4" x14ac:dyDescent="0.25">
      <c r="A10" s="6" t="s">
        <v>14</v>
      </c>
      <c r="B10" s="4">
        <v>0.76021024046482111</v>
      </c>
      <c r="C10" s="4">
        <v>0.52042048092964222</v>
      </c>
      <c r="D10" t="str">
        <f t="shared" si="0"/>
        <v>Bullisch</v>
      </c>
    </row>
    <row r="11" spans="1:4" x14ac:dyDescent="0.25">
      <c r="A11" s="6" t="s">
        <v>26</v>
      </c>
      <c r="B11" s="4">
        <v>0.7354031902478626</v>
      </c>
      <c r="C11" s="4">
        <v>0.47080638049572504</v>
      </c>
      <c r="D11" t="str">
        <f t="shared" si="0"/>
        <v>Bullisch</v>
      </c>
    </row>
    <row r="12" spans="1:4" x14ac:dyDescent="0.25">
      <c r="A12" s="6" t="s">
        <v>22</v>
      </c>
      <c r="B12" s="4">
        <v>0.73458473892556508</v>
      </c>
      <c r="C12" s="4">
        <v>0.46916947785112989</v>
      </c>
      <c r="D12" t="str">
        <f t="shared" si="0"/>
        <v>Bullisch</v>
      </c>
    </row>
    <row r="13" spans="1:4" x14ac:dyDescent="0.25">
      <c r="A13" s="6" t="s">
        <v>24</v>
      </c>
      <c r="B13" s="4">
        <v>0.71848866985878634</v>
      </c>
      <c r="C13" s="4">
        <v>0.43697733971757274</v>
      </c>
      <c r="D13" t="str">
        <f t="shared" si="0"/>
        <v>Bullisch</v>
      </c>
    </row>
    <row r="14" spans="1:4" x14ac:dyDescent="0.25">
      <c r="A14" s="6" t="s">
        <v>17</v>
      </c>
      <c r="B14" s="4">
        <v>0.65991180192164667</v>
      </c>
      <c r="C14" s="4">
        <v>0.3198236038432935</v>
      </c>
      <c r="D14" t="str">
        <f t="shared" si="0"/>
        <v>Neutral</v>
      </c>
    </row>
    <row r="15" spans="1:4" x14ac:dyDescent="0.25">
      <c r="A15" s="6" t="s">
        <v>23</v>
      </c>
      <c r="B15" s="4">
        <v>0.6581538372593414</v>
      </c>
      <c r="C15" s="4">
        <v>0.3163076745186828</v>
      </c>
      <c r="D15" t="str">
        <f t="shared" si="0"/>
        <v>Neutral</v>
      </c>
    </row>
    <row r="16" spans="1:4" x14ac:dyDescent="0.25">
      <c r="A16" s="6" t="s">
        <v>16</v>
      </c>
      <c r="B16" s="4">
        <v>0.64877006742688881</v>
      </c>
      <c r="C16" s="4">
        <v>0.29754013485377773</v>
      </c>
      <c r="D16" t="str">
        <f t="shared" si="0"/>
        <v>Neutral</v>
      </c>
    </row>
    <row r="17" spans="1:4" x14ac:dyDescent="0.25">
      <c r="A17" s="6" t="s">
        <v>13</v>
      </c>
      <c r="B17" s="4">
        <v>0.61863561591278127</v>
      </c>
      <c r="C17" s="4">
        <v>0.23727123182556245</v>
      </c>
      <c r="D17" t="str">
        <f t="shared" si="0"/>
        <v>Neutral</v>
      </c>
    </row>
    <row r="18" spans="1:4" x14ac:dyDescent="0.25">
      <c r="A18" s="6" t="s">
        <v>6</v>
      </c>
      <c r="B18" s="4">
        <v>0.60801923463061891</v>
      </c>
      <c r="C18" s="4">
        <v>0.21603846926123782</v>
      </c>
      <c r="D18" t="str">
        <f t="shared" si="0"/>
        <v>Neutral</v>
      </c>
    </row>
    <row r="19" spans="1:4" x14ac:dyDescent="0.25">
      <c r="A19" s="6" t="s">
        <v>12</v>
      </c>
      <c r="B19" s="4">
        <v>0.59861982573599393</v>
      </c>
      <c r="C19" s="4">
        <v>0.19723965147198796</v>
      </c>
      <c r="D19" t="str">
        <f t="shared" si="0"/>
        <v>Neutral</v>
      </c>
    </row>
    <row r="20" spans="1:4" x14ac:dyDescent="0.25">
      <c r="A20" s="6" t="s">
        <v>30</v>
      </c>
      <c r="B20" s="4">
        <v>0.50956216180741065</v>
      </c>
      <c r="C20" s="4">
        <v>1.9124323614821585E-2</v>
      </c>
      <c r="D20" t="str">
        <f t="shared" si="0"/>
        <v>Neutral</v>
      </c>
    </row>
    <row r="21" spans="1:4" x14ac:dyDescent="0.25">
      <c r="A21" s="6" t="s">
        <v>19</v>
      </c>
      <c r="B21" s="4">
        <v>0.49196820527148183</v>
      </c>
      <c r="C21" s="4">
        <v>-1.6063589457036447E-2</v>
      </c>
      <c r="D21" t="str">
        <f t="shared" si="0"/>
        <v>Bärisch</v>
      </c>
    </row>
    <row r="22" spans="1:4" x14ac:dyDescent="0.25">
      <c r="A22" s="6" t="s">
        <v>31</v>
      </c>
      <c r="B22" s="4">
        <v>0.48340296704479346</v>
      </c>
      <c r="C22" s="4">
        <v>-3.3194065910412837E-2</v>
      </c>
      <c r="D22" t="str">
        <f t="shared" si="0"/>
        <v>Bärisch</v>
      </c>
    </row>
    <row r="23" spans="1:4" x14ac:dyDescent="0.25">
      <c r="A23" s="6" t="s">
        <v>32</v>
      </c>
      <c r="B23" s="4">
        <v>0.45130790531597281</v>
      </c>
      <c r="C23" s="4">
        <v>-9.7384189368054389E-2</v>
      </c>
      <c r="D23" t="str">
        <f t="shared" si="0"/>
        <v>Bärisch</v>
      </c>
    </row>
    <row r="24" spans="1:4" x14ac:dyDescent="0.25">
      <c r="A24" s="6" t="s">
        <v>27</v>
      </c>
      <c r="B24" s="4">
        <v>0.38624800370505497</v>
      </c>
      <c r="C24" s="4">
        <v>-0.2275039925898901</v>
      </c>
      <c r="D24" t="str">
        <f t="shared" si="0"/>
        <v>Bärisch</v>
      </c>
    </row>
    <row r="25" spans="1:4" x14ac:dyDescent="0.25">
      <c r="A25" s="6" t="s">
        <v>28</v>
      </c>
      <c r="B25" s="4">
        <v>0.32695545224672756</v>
      </c>
      <c r="C25" s="4">
        <v>-0.34608909550654487</v>
      </c>
      <c r="D25" t="str">
        <f t="shared" si="0"/>
        <v>Bärisch</v>
      </c>
    </row>
    <row r="26" spans="1:4" x14ac:dyDescent="0.25">
      <c r="A26" s="6" t="s">
        <v>8</v>
      </c>
      <c r="B26" s="4">
        <v>0.30365017791295162</v>
      </c>
      <c r="C26" s="4">
        <v>-0.39269964417409664</v>
      </c>
      <c r="D26" t="str">
        <f t="shared" si="0"/>
        <v>Bärisch</v>
      </c>
    </row>
    <row r="27" spans="1:4" x14ac:dyDescent="0.25">
      <c r="A27" s="6" t="s">
        <v>18</v>
      </c>
      <c r="B27" s="4">
        <v>0.22525682467898417</v>
      </c>
      <c r="C27" s="4">
        <v>-0.54948635064203155</v>
      </c>
      <c r="D27" t="str">
        <f t="shared" si="0"/>
        <v>Bärisch</v>
      </c>
    </row>
    <row r="28" spans="1:4" x14ac:dyDescent="0.25">
      <c r="A28" s="6" t="s">
        <v>38</v>
      </c>
      <c r="B28" s="4">
        <v>0.62307709547387546</v>
      </c>
      <c r="C28" s="4">
        <v>0.24615419094775157</v>
      </c>
      <c r="D28" t="str">
        <f t="shared" si="0"/>
        <v>Neutral</v>
      </c>
    </row>
  </sheetData>
  <conditionalFormatting sqref="B1:B1048576">
    <cfRule type="colorScale" priority="3">
      <colorScale>
        <cfvo type="min"/>
        <cfvo type="percentile" val="50"/>
        <cfvo type="max"/>
        <color rgb="FFF8696B"/>
        <color rgb="FFFFEB84"/>
        <color rgb="FF63BE7B"/>
      </colorScale>
    </cfRule>
  </conditionalFormatting>
  <conditionalFormatting sqref="C1:C1048576">
    <cfRule type="colorScale" priority="1">
      <colorScale>
        <cfvo type="min"/>
        <cfvo type="percentile" val="50"/>
        <cfvo type="max"/>
        <color rgb="FFF8696B"/>
        <color rgb="FFFCFCFF"/>
        <color rgb="FF5A8AC6"/>
      </colorScale>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6B153B-0C91-4B74-B22E-FC9A5CFD52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Tabelle1</vt:lpstr>
      <vt:lpstr>Tabelle2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Zimmer</dc:creator>
  <cp:lastModifiedBy>Robin Zimmer</cp:lastModifiedBy>
  <dcterms:created xsi:type="dcterms:W3CDTF">2026-04-16T14:29:19Z</dcterms:created>
  <dcterms:modified xsi:type="dcterms:W3CDTF">2026-04-16T17:49:12Z</dcterms:modified>
</cp:coreProperties>
</file>